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iana Fonseca\Documentos Oficiales\BI - Proyectos\Proyectos Phyton\Planeación Estratégica\"/>
    </mc:Choice>
  </mc:AlternateContent>
  <xr:revisionPtr revIDLastSave="0" documentId="13_ncr:1_{8A3F911E-3D49-4D15-901B-BDA9322B7EF8}" xr6:coauthVersionLast="47" xr6:coauthVersionMax="47" xr10:uidLastSave="{00000000-0000-0000-0000-000000000000}"/>
  <bookViews>
    <workbookView xWindow="-110" yWindow="-110" windowWidth="25820" windowHeight="15500" tabRatio="500" firstSheet="19" activeTab="27" xr2:uid="{00000000-000D-0000-FFFF-FFFF00000000}"/>
  </bookViews>
  <sheets>
    <sheet name="Inicio" sheetId="1" r:id="rId1"/>
    <sheet name="Tablero Principal" sheetId="2" r:id="rId2"/>
    <sheet name="Parámetros" sheetId="3" r:id="rId3"/>
    <sheet name="IND-01" sheetId="4" r:id="rId4"/>
    <sheet name="IND-02" sheetId="5" r:id="rId5"/>
    <sheet name="IND-03" sheetId="6" r:id="rId6"/>
    <sheet name="IND-04" sheetId="7" r:id="rId7"/>
    <sheet name="IND-05" sheetId="8" r:id="rId8"/>
    <sheet name="IND-06" sheetId="9" r:id="rId9"/>
    <sheet name="IND-07" sheetId="10" r:id="rId10"/>
    <sheet name="IND-08" sheetId="11" r:id="rId11"/>
    <sheet name="IND-09" sheetId="12" r:id="rId12"/>
    <sheet name="IND-10" sheetId="13" r:id="rId13"/>
    <sheet name="IND-11" sheetId="14" r:id="rId14"/>
    <sheet name="IND-12" sheetId="15" r:id="rId15"/>
    <sheet name="IND-13" sheetId="16" r:id="rId16"/>
    <sheet name="IND-14" sheetId="17" r:id="rId17"/>
    <sheet name="IND-15" sheetId="18" r:id="rId18"/>
    <sheet name="IND-16" sheetId="19" r:id="rId19"/>
    <sheet name="IND-17" sheetId="20" r:id="rId20"/>
    <sheet name="IND-18" sheetId="21" r:id="rId21"/>
    <sheet name="IND-19" sheetId="22" r:id="rId22"/>
    <sheet name="IND-20" sheetId="23" r:id="rId23"/>
    <sheet name="IND-21" sheetId="24" r:id="rId24"/>
    <sheet name="IND-22" sheetId="25" r:id="rId25"/>
    <sheet name="IND-23" sheetId="26" r:id="rId26"/>
    <sheet name="IND-24" sheetId="27" r:id="rId27"/>
    <sheet name="IND-25" sheetId="28" r:id="rId2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8" l="1"/>
  <c r="F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F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F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F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F34" i="28"/>
  <c r="G33" i="28"/>
  <c r="G32" i="28"/>
  <c r="G31" i="28"/>
  <c r="G30" i="28"/>
  <c r="G29" i="28"/>
  <c r="G28" i="28"/>
  <c r="G27" i="28"/>
  <c r="G26" i="28"/>
  <c r="G25" i="28"/>
  <c r="G24" i="28"/>
  <c r="G23" i="28"/>
  <c r="D10" i="28"/>
  <c r="H82" i="27"/>
  <c r="G82" i="27"/>
  <c r="H81" i="27"/>
  <c r="H80" i="27"/>
  <c r="H79" i="27"/>
  <c r="H78" i="27"/>
  <c r="H77" i="27"/>
  <c r="H76" i="27"/>
  <c r="G76" i="27"/>
  <c r="H75" i="27"/>
  <c r="H74" i="27"/>
  <c r="H73" i="27"/>
  <c r="H72" i="27"/>
  <c r="H71" i="27"/>
  <c r="H70" i="27"/>
  <c r="G70" i="27"/>
  <c r="H69" i="27"/>
  <c r="H68" i="27"/>
  <c r="H67" i="27"/>
  <c r="H66" i="27"/>
  <c r="H65" i="27"/>
  <c r="H64" i="27"/>
  <c r="G64" i="27"/>
  <c r="H63" i="27"/>
  <c r="H62" i="27"/>
  <c r="H61" i="27"/>
  <c r="H60" i="27"/>
  <c r="H59" i="27"/>
  <c r="H58" i="27"/>
  <c r="G58" i="27"/>
  <c r="H57" i="27"/>
  <c r="H56" i="27"/>
  <c r="H55" i="27"/>
  <c r="H54" i="27"/>
  <c r="H53" i="27"/>
  <c r="H52" i="27"/>
  <c r="G52" i="27"/>
  <c r="H51" i="27"/>
  <c r="H50" i="27"/>
  <c r="H49" i="27"/>
  <c r="H48" i="27"/>
  <c r="H47" i="27"/>
  <c r="H46" i="27"/>
  <c r="G46" i="27"/>
  <c r="H45" i="27"/>
  <c r="H44" i="27"/>
  <c r="H43" i="27"/>
  <c r="H42" i="27"/>
  <c r="H41" i="27"/>
  <c r="H40" i="27"/>
  <c r="G40" i="27"/>
  <c r="H39" i="27"/>
  <c r="H38" i="27"/>
  <c r="H37" i="27"/>
  <c r="H36" i="27"/>
  <c r="H35" i="27"/>
  <c r="H34" i="27"/>
  <c r="G34" i="27"/>
  <c r="H33" i="27"/>
  <c r="H32" i="27"/>
  <c r="H31" i="27"/>
  <c r="H30" i="27"/>
  <c r="H29" i="27"/>
  <c r="H28" i="27"/>
  <c r="G28" i="27"/>
  <c r="H27" i="27"/>
  <c r="H26" i="27"/>
  <c r="H25" i="27"/>
  <c r="H24" i="27"/>
  <c r="H23" i="27"/>
  <c r="D10" i="27"/>
  <c r="H82" i="26"/>
  <c r="G82" i="26"/>
  <c r="H81" i="26"/>
  <c r="H80" i="26"/>
  <c r="H79" i="26"/>
  <c r="G79" i="26"/>
  <c r="H78" i="26"/>
  <c r="H77" i="26"/>
  <c r="H76" i="26"/>
  <c r="G76" i="26"/>
  <c r="H75" i="26"/>
  <c r="H74" i="26"/>
  <c r="H73" i="26"/>
  <c r="G73" i="26"/>
  <c r="H72" i="26"/>
  <c r="H71" i="26"/>
  <c r="H70" i="26"/>
  <c r="G70" i="26"/>
  <c r="H69" i="26"/>
  <c r="H68" i="26"/>
  <c r="H67" i="26"/>
  <c r="G67" i="26"/>
  <c r="H66" i="26"/>
  <c r="H65" i="26"/>
  <c r="H64" i="26"/>
  <c r="G64" i="26"/>
  <c r="H63" i="26"/>
  <c r="H62" i="26"/>
  <c r="H61" i="26"/>
  <c r="G61" i="26"/>
  <c r="H60" i="26"/>
  <c r="H59" i="26"/>
  <c r="H58" i="26"/>
  <c r="G58" i="26"/>
  <c r="H57" i="26"/>
  <c r="H56" i="26"/>
  <c r="H55" i="26"/>
  <c r="G55" i="26"/>
  <c r="H54" i="26"/>
  <c r="H53" i="26"/>
  <c r="H52" i="26"/>
  <c r="G52" i="26"/>
  <c r="H51" i="26"/>
  <c r="H50" i="26"/>
  <c r="H49" i="26"/>
  <c r="G49" i="26"/>
  <c r="H48" i="26"/>
  <c r="H47" i="26"/>
  <c r="H46" i="26"/>
  <c r="G46" i="26"/>
  <c r="H45" i="26"/>
  <c r="H44" i="26"/>
  <c r="H43" i="26"/>
  <c r="G43" i="26"/>
  <c r="H42" i="26"/>
  <c r="H41" i="26"/>
  <c r="H40" i="26"/>
  <c r="G40" i="26"/>
  <c r="H39" i="26"/>
  <c r="H38" i="26"/>
  <c r="H37" i="26"/>
  <c r="G37" i="26"/>
  <c r="H36" i="26"/>
  <c r="I35" i="26"/>
  <c r="H35" i="26"/>
  <c r="H34" i="26"/>
  <c r="G34" i="26"/>
  <c r="H33" i="26"/>
  <c r="H32" i="26"/>
  <c r="H31" i="26"/>
  <c r="G31" i="26"/>
  <c r="H30" i="26"/>
  <c r="H29" i="26"/>
  <c r="H28" i="26"/>
  <c r="G28" i="26"/>
  <c r="H27" i="26"/>
  <c r="H26" i="26"/>
  <c r="H25" i="26"/>
  <c r="G25" i="26"/>
  <c r="H24" i="26"/>
  <c r="H23" i="26"/>
  <c r="D10" i="26"/>
  <c r="H82" i="25"/>
  <c r="G82" i="25"/>
  <c r="H81" i="25"/>
  <c r="H80" i="25"/>
  <c r="H79" i="25"/>
  <c r="G79" i="25"/>
  <c r="H78" i="25"/>
  <c r="H77" i="25"/>
  <c r="H76" i="25"/>
  <c r="G76" i="25"/>
  <c r="H75" i="25"/>
  <c r="H74" i="25"/>
  <c r="H73" i="25"/>
  <c r="G73" i="25"/>
  <c r="H72" i="25"/>
  <c r="H71" i="25"/>
  <c r="H70" i="25"/>
  <c r="G70" i="25"/>
  <c r="H69" i="25"/>
  <c r="H68" i="25"/>
  <c r="H67" i="25"/>
  <c r="G67" i="25"/>
  <c r="H66" i="25"/>
  <c r="H65" i="25"/>
  <c r="H64" i="25"/>
  <c r="G64" i="25"/>
  <c r="H63" i="25"/>
  <c r="H62" i="25"/>
  <c r="H61" i="25"/>
  <c r="G61" i="25"/>
  <c r="H60" i="25"/>
  <c r="H59" i="25"/>
  <c r="H58" i="25"/>
  <c r="G58" i="25"/>
  <c r="H57" i="25"/>
  <c r="H56" i="25"/>
  <c r="H55" i="25"/>
  <c r="G55" i="25"/>
  <c r="H54" i="25"/>
  <c r="H53" i="25"/>
  <c r="H52" i="25"/>
  <c r="G52" i="25"/>
  <c r="H51" i="25"/>
  <c r="H50" i="25"/>
  <c r="H49" i="25"/>
  <c r="G49" i="25"/>
  <c r="H48" i="25"/>
  <c r="H47" i="25"/>
  <c r="H46" i="25"/>
  <c r="G46" i="25"/>
  <c r="H45" i="25"/>
  <c r="H44" i="25"/>
  <c r="H43" i="25"/>
  <c r="G43" i="25"/>
  <c r="H42" i="25"/>
  <c r="H41" i="25"/>
  <c r="H40" i="25"/>
  <c r="G40" i="25"/>
  <c r="H39" i="25"/>
  <c r="H38" i="25"/>
  <c r="H37" i="25"/>
  <c r="G37" i="25"/>
  <c r="H36" i="25"/>
  <c r="H35" i="25"/>
  <c r="H34" i="25"/>
  <c r="G34" i="25"/>
  <c r="H33" i="25"/>
  <c r="H32" i="25"/>
  <c r="H31" i="25"/>
  <c r="G31" i="25"/>
  <c r="H30" i="25"/>
  <c r="H29" i="25"/>
  <c r="H28" i="25"/>
  <c r="G28" i="25"/>
  <c r="I27" i="25"/>
  <c r="H27" i="25"/>
  <c r="H26" i="25"/>
  <c r="H25" i="25"/>
  <c r="G25" i="25"/>
  <c r="H24" i="25"/>
  <c r="H23" i="25"/>
  <c r="D10" i="25"/>
  <c r="H82" i="24"/>
  <c r="G82" i="24"/>
  <c r="H81" i="24"/>
  <c r="H80" i="24"/>
  <c r="H79" i="24"/>
  <c r="G79" i="24"/>
  <c r="H78" i="24"/>
  <c r="H77" i="24"/>
  <c r="H76" i="24"/>
  <c r="G76" i="24"/>
  <c r="H75" i="24"/>
  <c r="H74" i="24"/>
  <c r="H73" i="24"/>
  <c r="G73" i="24"/>
  <c r="H72" i="24"/>
  <c r="H71" i="24"/>
  <c r="H70" i="24"/>
  <c r="G70" i="24"/>
  <c r="H69" i="24"/>
  <c r="H68" i="24"/>
  <c r="H67" i="24"/>
  <c r="G67" i="24"/>
  <c r="H66" i="24"/>
  <c r="H65" i="24"/>
  <c r="H64" i="24"/>
  <c r="G64" i="24"/>
  <c r="H63" i="24"/>
  <c r="H62" i="24"/>
  <c r="H61" i="24"/>
  <c r="G61" i="24"/>
  <c r="H60" i="24"/>
  <c r="H59" i="24"/>
  <c r="H58" i="24"/>
  <c r="G58" i="24"/>
  <c r="H57" i="24"/>
  <c r="H56" i="24"/>
  <c r="H55" i="24"/>
  <c r="G55" i="24"/>
  <c r="H54" i="24"/>
  <c r="H53" i="24"/>
  <c r="H52" i="24"/>
  <c r="G52" i="24"/>
  <c r="H51" i="24"/>
  <c r="H50" i="24"/>
  <c r="H49" i="24"/>
  <c r="G49" i="24"/>
  <c r="H48" i="24"/>
  <c r="H47" i="24"/>
  <c r="H46" i="24"/>
  <c r="G46" i="24"/>
  <c r="H45" i="24"/>
  <c r="H44" i="24"/>
  <c r="H43" i="24"/>
  <c r="G43" i="24"/>
  <c r="H42" i="24"/>
  <c r="H41" i="24"/>
  <c r="H40" i="24"/>
  <c r="G40" i="24"/>
  <c r="H39" i="24"/>
  <c r="H38" i="24"/>
  <c r="H37" i="24"/>
  <c r="G37" i="24"/>
  <c r="H36" i="24"/>
  <c r="H35" i="24"/>
  <c r="H34" i="24"/>
  <c r="G34" i="24"/>
  <c r="H33" i="24"/>
  <c r="H32" i="24"/>
  <c r="H31" i="24"/>
  <c r="G31" i="24"/>
  <c r="I30" i="24"/>
  <c r="H30" i="24"/>
  <c r="H29" i="24"/>
  <c r="H28" i="24"/>
  <c r="G28" i="24"/>
  <c r="H27" i="24"/>
  <c r="H26" i="24"/>
  <c r="H25" i="24"/>
  <c r="G25" i="24"/>
  <c r="H24" i="24"/>
  <c r="H23" i="24"/>
  <c r="D10" i="24"/>
  <c r="H82" i="23"/>
  <c r="G82" i="23"/>
  <c r="H81" i="23"/>
  <c r="H80" i="23"/>
  <c r="H79" i="23"/>
  <c r="H78" i="23"/>
  <c r="H77" i="23"/>
  <c r="H76" i="23"/>
  <c r="G76" i="23"/>
  <c r="H75" i="23"/>
  <c r="H74" i="23"/>
  <c r="H73" i="23"/>
  <c r="H72" i="23"/>
  <c r="H71" i="23"/>
  <c r="H70" i="23"/>
  <c r="G70" i="23"/>
  <c r="H69" i="23"/>
  <c r="H68" i="23"/>
  <c r="H67" i="23"/>
  <c r="H66" i="23"/>
  <c r="H65" i="23"/>
  <c r="H64" i="23"/>
  <c r="G64" i="23"/>
  <c r="H63" i="23"/>
  <c r="H62" i="23"/>
  <c r="H61" i="23"/>
  <c r="H60" i="23"/>
  <c r="H59" i="23"/>
  <c r="H58" i="23"/>
  <c r="G58" i="23"/>
  <c r="H57" i="23"/>
  <c r="H56" i="23"/>
  <c r="H55" i="23"/>
  <c r="H54" i="23"/>
  <c r="H53" i="23"/>
  <c r="H52" i="23"/>
  <c r="G52" i="23"/>
  <c r="H51" i="23"/>
  <c r="H50" i="23"/>
  <c r="H49" i="23"/>
  <c r="H48" i="23"/>
  <c r="H47" i="23"/>
  <c r="H46" i="23"/>
  <c r="G46" i="23"/>
  <c r="H45" i="23"/>
  <c r="H44" i="23"/>
  <c r="H43" i="23"/>
  <c r="H42" i="23"/>
  <c r="H41" i="23"/>
  <c r="H40" i="23"/>
  <c r="G40" i="23"/>
  <c r="H39" i="23"/>
  <c r="H38" i="23"/>
  <c r="H37" i="23"/>
  <c r="H36" i="23"/>
  <c r="H35" i="23"/>
  <c r="H34" i="23"/>
  <c r="G34" i="23"/>
  <c r="I33" i="23"/>
  <c r="H33" i="23"/>
  <c r="H32" i="23"/>
  <c r="H31" i="23"/>
  <c r="H30" i="23"/>
  <c r="H29" i="23"/>
  <c r="H28" i="23"/>
  <c r="G28" i="23"/>
  <c r="H27" i="23"/>
  <c r="H26" i="23"/>
  <c r="H25" i="23"/>
  <c r="H24" i="23"/>
  <c r="I23" i="23"/>
  <c r="H23" i="23"/>
  <c r="D10" i="23"/>
  <c r="G82" i="22"/>
  <c r="F82" i="22"/>
  <c r="G81" i="22"/>
  <c r="G80" i="22"/>
  <c r="G79" i="22"/>
  <c r="F79" i="22"/>
  <c r="G78" i="22"/>
  <c r="G77" i="22"/>
  <c r="G76" i="22"/>
  <c r="F76" i="22"/>
  <c r="G75" i="22"/>
  <c r="G74" i="22"/>
  <c r="G73" i="22"/>
  <c r="F73" i="22"/>
  <c r="G72" i="22"/>
  <c r="G71" i="22"/>
  <c r="G70" i="22"/>
  <c r="F70" i="22"/>
  <c r="G69" i="22"/>
  <c r="G68" i="22"/>
  <c r="G67" i="22"/>
  <c r="F67" i="22"/>
  <c r="G66" i="22"/>
  <c r="G65" i="22"/>
  <c r="G64" i="22"/>
  <c r="F64" i="22"/>
  <c r="G63" i="22"/>
  <c r="G62" i="22"/>
  <c r="G61" i="22"/>
  <c r="F61" i="22"/>
  <c r="G60" i="22"/>
  <c r="G59" i="22"/>
  <c r="G58" i="22"/>
  <c r="F58" i="22"/>
  <c r="G57" i="22"/>
  <c r="G56" i="22"/>
  <c r="G55" i="22"/>
  <c r="F55" i="22"/>
  <c r="G54" i="22"/>
  <c r="G53" i="22"/>
  <c r="G52" i="22"/>
  <c r="F52" i="22"/>
  <c r="G51" i="22"/>
  <c r="G50" i="22"/>
  <c r="G49" i="22"/>
  <c r="F49" i="22"/>
  <c r="G48" i="22"/>
  <c r="G47" i="22"/>
  <c r="G46" i="22"/>
  <c r="F46" i="22"/>
  <c r="G45" i="22"/>
  <c r="H44" i="22"/>
  <c r="G44" i="22"/>
  <c r="G43" i="22"/>
  <c r="F43" i="22"/>
  <c r="G42" i="22"/>
  <c r="G41" i="22"/>
  <c r="G40" i="22"/>
  <c r="F40" i="22"/>
  <c r="G39" i="22"/>
  <c r="G38" i="22"/>
  <c r="G37" i="22"/>
  <c r="F37" i="22"/>
  <c r="G36" i="22"/>
  <c r="G35" i="22"/>
  <c r="G34" i="22"/>
  <c r="F34" i="22"/>
  <c r="G33" i="22"/>
  <c r="G32" i="22"/>
  <c r="G31" i="22"/>
  <c r="F31" i="22"/>
  <c r="G30" i="22"/>
  <c r="G29" i="22"/>
  <c r="G28" i="22"/>
  <c r="F28" i="22"/>
  <c r="H27" i="22"/>
  <c r="G27" i="22"/>
  <c r="G26" i="22"/>
  <c r="G25" i="22"/>
  <c r="F25" i="22"/>
  <c r="G24" i="22"/>
  <c r="G23" i="22"/>
  <c r="D10" i="22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D10" i="21"/>
  <c r="H82" i="20"/>
  <c r="G82" i="20"/>
  <c r="H81" i="20"/>
  <c r="G81" i="20"/>
  <c r="H80" i="20"/>
  <c r="G80" i="20"/>
  <c r="H79" i="20"/>
  <c r="G79" i="20"/>
  <c r="H78" i="20"/>
  <c r="G78" i="20"/>
  <c r="H77" i="20"/>
  <c r="G77" i="20"/>
  <c r="H76" i="20"/>
  <c r="G76" i="20"/>
  <c r="H75" i="20"/>
  <c r="G75" i="20"/>
  <c r="H74" i="20"/>
  <c r="G74" i="20"/>
  <c r="H73" i="20"/>
  <c r="G73" i="20"/>
  <c r="H72" i="20"/>
  <c r="G72" i="20"/>
  <c r="H71" i="20"/>
  <c r="G71" i="20"/>
  <c r="H70" i="20"/>
  <c r="G70" i="20"/>
  <c r="H69" i="20"/>
  <c r="G69" i="20"/>
  <c r="H68" i="20"/>
  <c r="G68" i="20"/>
  <c r="H67" i="20"/>
  <c r="G67" i="20"/>
  <c r="H66" i="20"/>
  <c r="G66" i="20"/>
  <c r="H65" i="20"/>
  <c r="G65" i="20"/>
  <c r="H64" i="20"/>
  <c r="G64" i="20"/>
  <c r="H63" i="20"/>
  <c r="G63" i="20"/>
  <c r="H62" i="20"/>
  <c r="G62" i="20"/>
  <c r="H61" i="20"/>
  <c r="G61" i="20"/>
  <c r="H60" i="20"/>
  <c r="G60" i="20"/>
  <c r="H59" i="20"/>
  <c r="G59" i="20"/>
  <c r="H58" i="20"/>
  <c r="G58" i="20"/>
  <c r="H57" i="20"/>
  <c r="G57" i="20"/>
  <c r="H56" i="20"/>
  <c r="G56" i="20"/>
  <c r="H55" i="20"/>
  <c r="G55" i="20"/>
  <c r="H54" i="20"/>
  <c r="G54" i="20"/>
  <c r="H53" i="20"/>
  <c r="G53" i="20"/>
  <c r="H52" i="20"/>
  <c r="G52" i="20"/>
  <c r="H51" i="20"/>
  <c r="G51" i="20"/>
  <c r="H50" i="20"/>
  <c r="G50" i="20"/>
  <c r="H49" i="20"/>
  <c r="G49" i="20"/>
  <c r="H48" i="20"/>
  <c r="G48" i="20"/>
  <c r="H47" i="20"/>
  <c r="G47" i="20"/>
  <c r="H46" i="20"/>
  <c r="G46" i="20"/>
  <c r="H45" i="20"/>
  <c r="G45" i="20"/>
  <c r="H44" i="20"/>
  <c r="G44" i="20"/>
  <c r="H43" i="20"/>
  <c r="G43" i="20"/>
  <c r="H42" i="20"/>
  <c r="G42" i="20"/>
  <c r="H41" i="20"/>
  <c r="G41" i="20"/>
  <c r="H40" i="20"/>
  <c r="G40" i="20"/>
  <c r="H39" i="20"/>
  <c r="G39" i="20"/>
  <c r="H38" i="20"/>
  <c r="G38" i="20"/>
  <c r="H37" i="20"/>
  <c r="G37" i="20"/>
  <c r="H36" i="20"/>
  <c r="G36" i="20"/>
  <c r="H35" i="20"/>
  <c r="G35" i="20"/>
  <c r="H34" i="20"/>
  <c r="G34" i="20"/>
  <c r="H33" i="20"/>
  <c r="G33" i="20"/>
  <c r="H32" i="20"/>
  <c r="G32" i="20"/>
  <c r="H31" i="20"/>
  <c r="G31" i="20"/>
  <c r="H30" i="20"/>
  <c r="G30" i="20"/>
  <c r="H29" i="20"/>
  <c r="G29" i="20"/>
  <c r="H28" i="20"/>
  <c r="G28" i="20"/>
  <c r="H27" i="20"/>
  <c r="G27" i="20"/>
  <c r="H26" i="20"/>
  <c r="G26" i="20"/>
  <c r="H25" i="20"/>
  <c r="G25" i="20"/>
  <c r="H24" i="20"/>
  <c r="G24" i="20"/>
  <c r="H23" i="20"/>
  <c r="G23" i="20"/>
  <c r="D10" i="20"/>
  <c r="G82" i="19"/>
  <c r="F82" i="19"/>
  <c r="G81" i="19"/>
  <c r="F81" i="19"/>
  <c r="G80" i="19"/>
  <c r="F80" i="19"/>
  <c r="G79" i="19"/>
  <c r="F79" i="19"/>
  <c r="G78" i="19"/>
  <c r="F78" i="19"/>
  <c r="G77" i="19"/>
  <c r="F77" i="19"/>
  <c r="G76" i="19"/>
  <c r="F76" i="19"/>
  <c r="G75" i="19"/>
  <c r="F75" i="19"/>
  <c r="G74" i="19"/>
  <c r="F74" i="19"/>
  <c r="G73" i="19"/>
  <c r="F73" i="19"/>
  <c r="G72" i="19"/>
  <c r="F72" i="19"/>
  <c r="G71" i="19"/>
  <c r="F71" i="19"/>
  <c r="G70" i="19"/>
  <c r="F70" i="19"/>
  <c r="G69" i="19"/>
  <c r="F69" i="19"/>
  <c r="G68" i="19"/>
  <c r="F68" i="19"/>
  <c r="G67" i="19"/>
  <c r="F67" i="19"/>
  <c r="G66" i="19"/>
  <c r="F66" i="19"/>
  <c r="G65" i="19"/>
  <c r="F65" i="19"/>
  <c r="G64" i="19"/>
  <c r="F64" i="19"/>
  <c r="G63" i="19"/>
  <c r="F63" i="19"/>
  <c r="G62" i="19"/>
  <c r="F62" i="19"/>
  <c r="G61" i="19"/>
  <c r="F61" i="19"/>
  <c r="G60" i="19"/>
  <c r="F60" i="19"/>
  <c r="G59" i="19"/>
  <c r="F59" i="19"/>
  <c r="G58" i="19"/>
  <c r="F58" i="19"/>
  <c r="G57" i="19"/>
  <c r="F57" i="19"/>
  <c r="G56" i="19"/>
  <c r="F56" i="19"/>
  <c r="G55" i="19"/>
  <c r="F55" i="19"/>
  <c r="G54" i="19"/>
  <c r="F54" i="19"/>
  <c r="G53" i="19"/>
  <c r="F53" i="19"/>
  <c r="G52" i="19"/>
  <c r="F52" i="19"/>
  <c r="G51" i="19"/>
  <c r="F51" i="19"/>
  <c r="G50" i="19"/>
  <c r="F50" i="19"/>
  <c r="G49" i="19"/>
  <c r="F49" i="19"/>
  <c r="G48" i="19"/>
  <c r="F48" i="19"/>
  <c r="G47" i="19"/>
  <c r="F47" i="19"/>
  <c r="G46" i="19"/>
  <c r="F46" i="19"/>
  <c r="G45" i="19"/>
  <c r="F45" i="19"/>
  <c r="G44" i="19"/>
  <c r="F44" i="19"/>
  <c r="G43" i="19"/>
  <c r="F43" i="19"/>
  <c r="G42" i="19"/>
  <c r="F42" i="19"/>
  <c r="G41" i="19"/>
  <c r="F41" i="19"/>
  <c r="G40" i="19"/>
  <c r="F40" i="19"/>
  <c r="G39" i="19"/>
  <c r="F39" i="19"/>
  <c r="G38" i="19"/>
  <c r="F38" i="19"/>
  <c r="G37" i="19"/>
  <c r="F37" i="19"/>
  <c r="G36" i="19"/>
  <c r="F36" i="19"/>
  <c r="G35" i="19"/>
  <c r="F35" i="19"/>
  <c r="G34" i="19"/>
  <c r="F34" i="19"/>
  <c r="G33" i="19"/>
  <c r="F33" i="19"/>
  <c r="G32" i="19"/>
  <c r="F32" i="19"/>
  <c r="H31" i="19"/>
  <c r="G31" i="19"/>
  <c r="F31" i="19"/>
  <c r="G30" i="19"/>
  <c r="F30" i="19"/>
  <c r="G29" i="19"/>
  <c r="F29" i="19"/>
  <c r="G28" i="19"/>
  <c r="F28" i="19"/>
  <c r="G27" i="19"/>
  <c r="F27" i="19"/>
  <c r="G26" i="19"/>
  <c r="F26" i="19"/>
  <c r="G25" i="19"/>
  <c r="F25" i="19"/>
  <c r="G24" i="19"/>
  <c r="F24" i="19"/>
  <c r="G23" i="19"/>
  <c r="F23" i="19"/>
  <c r="D10" i="19"/>
  <c r="I82" i="18"/>
  <c r="H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H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H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H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H34" i="18"/>
  <c r="I33" i="18"/>
  <c r="I32" i="18"/>
  <c r="I31" i="18"/>
  <c r="I30" i="18"/>
  <c r="I29" i="18"/>
  <c r="I28" i="18"/>
  <c r="I27" i="18"/>
  <c r="I26" i="18"/>
  <c r="I25" i="18"/>
  <c r="I24" i="18"/>
  <c r="I23" i="18"/>
  <c r="D10" i="18"/>
  <c r="G82" i="17"/>
  <c r="F82" i="17"/>
  <c r="G81" i="17"/>
  <c r="G80" i="17"/>
  <c r="G79" i="17"/>
  <c r="G78" i="17"/>
  <c r="G77" i="17"/>
  <c r="G76" i="17"/>
  <c r="F76" i="17"/>
  <c r="G75" i="17"/>
  <c r="G74" i="17"/>
  <c r="G73" i="17"/>
  <c r="G72" i="17"/>
  <c r="G71" i="17"/>
  <c r="G70" i="17"/>
  <c r="F70" i="17"/>
  <c r="G69" i="17"/>
  <c r="G68" i="17"/>
  <c r="G67" i="17"/>
  <c r="G66" i="17"/>
  <c r="G65" i="17"/>
  <c r="G64" i="17"/>
  <c r="F64" i="17"/>
  <c r="G63" i="17"/>
  <c r="G62" i="17"/>
  <c r="G61" i="17"/>
  <c r="G60" i="17"/>
  <c r="G59" i="17"/>
  <c r="G58" i="17"/>
  <c r="F58" i="17"/>
  <c r="G57" i="17"/>
  <c r="G56" i="17"/>
  <c r="G55" i="17"/>
  <c r="G54" i="17"/>
  <c r="G53" i="17"/>
  <c r="G52" i="17"/>
  <c r="F52" i="17"/>
  <c r="G51" i="17"/>
  <c r="G50" i="17"/>
  <c r="G49" i="17"/>
  <c r="G48" i="17"/>
  <c r="G47" i="17"/>
  <c r="G46" i="17"/>
  <c r="F46" i="17"/>
  <c r="G45" i="17"/>
  <c r="G44" i="17"/>
  <c r="G43" i="17"/>
  <c r="G42" i="17"/>
  <c r="G41" i="17"/>
  <c r="G40" i="17"/>
  <c r="F40" i="17"/>
  <c r="G39" i="17"/>
  <c r="G38" i="17"/>
  <c r="G37" i="17"/>
  <c r="G36" i="17"/>
  <c r="G35" i="17"/>
  <c r="G34" i="17"/>
  <c r="F34" i="17"/>
  <c r="G33" i="17"/>
  <c r="G32" i="17"/>
  <c r="G31" i="17"/>
  <c r="G30" i="17"/>
  <c r="G29" i="17"/>
  <c r="G28" i="17"/>
  <c r="F28" i="17"/>
  <c r="G27" i="17"/>
  <c r="G26" i="17"/>
  <c r="G25" i="17"/>
  <c r="G24" i="17"/>
  <c r="G23" i="17"/>
  <c r="D10" i="17"/>
  <c r="H82" i="16"/>
  <c r="G82" i="16"/>
  <c r="H81" i="16"/>
  <c r="G81" i="16"/>
  <c r="H80" i="16"/>
  <c r="G80" i="16"/>
  <c r="H79" i="16"/>
  <c r="G79" i="16"/>
  <c r="H78" i="16"/>
  <c r="G78" i="16"/>
  <c r="H77" i="16"/>
  <c r="G77" i="16"/>
  <c r="H76" i="16"/>
  <c r="G76" i="16"/>
  <c r="H75" i="16"/>
  <c r="G75" i="16"/>
  <c r="H74" i="16"/>
  <c r="G74" i="16"/>
  <c r="H73" i="16"/>
  <c r="G73" i="16"/>
  <c r="H72" i="16"/>
  <c r="G72" i="16"/>
  <c r="H71" i="16"/>
  <c r="G71" i="16"/>
  <c r="H70" i="16"/>
  <c r="G70" i="16"/>
  <c r="H69" i="16"/>
  <c r="G69" i="16"/>
  <c r="H68" i="16"/>
  <c r="G68" i="16"/>
  <c r="H67" i="16"/>
  <c r="G67" i="16"/>
  <c r="H66" i="16"/>
  <c r="G66" i="16"/>
  <c r="H65" i="16"/>
  <c r="G65" i="16"/>
  <c r="H64" i="16"/>
  <c r="G64" i="16"/>
  <c r="H63" i="16"/>
  <c r="G63" i="16"/>
  <c r="H62" i="16"/>
  <c r="G62" i="16"/>
  <c r="H61" i="16"/>
  <c r="G61" i="16"/>
  <c r="H60" i="16"/>
  <c r="G60" i="16"/>
  <c r="H59" i="16"/>
  <c r="G59" i="16"/>
  <c r="H58" i="16"/>
  <c r="G58" i="16"/>
  <c r="H57" i="16"/>
  <c r="G57" i="16"/>
  <c r="H56" i="16"/>
  <c r="G56" i="16"/>
  <c r="H55" i="16"/>
  <c r="G55" i="16"/>
  <c r="H54" i="16"/>
  <c r="G54" i="16"/>
  <c r="H53" i="16"/>
  <c r="G53" i="16"/>
  <c r="H52" i="16"/>
  <c r="G52" i="16"/>
  <c r="H51" i="16"/>
  <c r="G51" i="16"/>
  <c r="H50" i="16"/>
  <c r="G50" i="16"/>
  <c r="H49" i="16"/>
  <c r="G49" i="16"/>
  <c r="H48" i="16"/>
  <c r="G48" i="16"/>
  <c r="H47" i="16"/>
  <c r="G47" i="16"/>
  <c r="H46" i="16"/>
  <c r="G46" i="16"/>
  <c r="H45" i="16"/>
  <c r="G45" i="16"/>
  <c r="H44" i="16"/>
  <c r="G44" i="16"/>
  <c r="H43" i="16"/>
  <c r="G43" i="16"/>
  <c r="H42" i="16"/>
  <c r="G42" i="16"/>
  <c r="H41" i="16"/>
  <c r="G41" i="16"/>
  <c r="H40" i="16"/>
  <c r="G40" i="16"/>
  <c r="H39" i="16"/>
  <c r="G39" i="16"/>
  <c r="H38" i="16"/>
  <c r="G38" i="16"/>
  <c r="H37" i="16"/>
  <c r="G37" i="16"/>
  <c r="H36" i="16"/>
  <c r="G36" i="16"/>
  <c r="H35" i="16"/>
  <c r="G35" i="16"/>
  <c r="H34" i="16"/>
  <c r="G34" i="16"/>
  <c r="H33" i="16"/>
  <c r="G33" i="16"/>
  <c r="H32" i="16"/>
  <c r="G32" i="16"/>
  <c r="H31" i="16"/>
  <c r="G31" i="16"/>
  <c r="H30" i="16"/>
  <c r="G30" i="16"/>
  <c r="H29" i="16"/>
  <c r="G29" i="16"/>
  <c r="H28" i="16"/>
  <c r="G28" i="16"/>
  <c r="H27" i="16"/>
  <c r="G27" i="16"/>
  <c r="H26" i="16"/>
  <c r="G26" i="16"/>
  <c r="H25" i="16"/>
  <c r="G25" i="16"/>
  <c r="H24" i="16"/>
  <c r="G24" i="16"/>
  <c r="H23" i="16"/>
  <c r="G23" i="16"/>
  <c r="D10" i="16"/>
  <c r="J82" i="15"/>
  <c r="I82" i="15"/>
  <c r="J81" i="15"/>
  <c r="I81" i="15"/>
  <c r="J80" i="15"/>
  <c r="I80" i="15"/>
  <c r="J79" i="15"/>
  <c r="I79" i="15"/>
  <c r="J78" i="15"/>
  <c r="I78" i="15"/>
  <c r="J77" i="15"/>
  <c r="I77" i="15"/>
  <c r="J76" i="15"/>
  <c r="I76" i="15"/>
  <c r="J75" i="15"/>
  <c r="I75" i="15"/>
  <c r="J74" i="15"/>
  <c r="I74" i="15"/>
  <c r="J73" i="15"/>
  <c r="I73" i="15"/>
  <c r="J72" i="15"/>
  <c r="I72" i="15"/>
  <c r="J71" i="15"/>
  <c r="I71" i="15"/>
  <c r="J70" i="15"/>
  <c r="I70" i="15"/>
  <c r="J69" i="15"/>
  <c r="I69" i="15"/>
  <c r="J68" i="15"/>
  <c r="I68" i="15"/>
  <c r="J67" i="15"/>
  <c r="I67" i="15"/>
  <c r="J66" i="15"/>
  <c r="I66" i="15"/>
  <c r="J65" i="15"/>
  <c r="I65" i="15"/>
  <c r="J64" i="15"/>
  <c r="I64" i="15"/>
  <c r="J63" i="15"/>
  <c r="I63" i="15"/>
  <c r="J62" i="15"/>
  <c r="I62" i="15"/>
  <c r="J61" i="15"/>
  <c r="I61" i="15"/>
  <c r="J60" i="15"/>
  <c r="I60" i="15"/>
  <c r="J59" i="15"/>
  <c r="I59" i="15"/>
  <c r="J58" i="15"/>
  <c r="I58" i="15"/>
  <c r="J57" i="15"/>
  <c r="I57" i="15"/>
  <c r="J56" i="15"/>
  <c r="I56" i="15"/>
  <c r="J55" i="15"/>
  <c r="I55" i="15"/>
  <c r="J54" i="15"/>
  <c r="I54" i="15"/>
  <c r="J53" i="15"/>
  <c r="I53" i="15"/>
  <c r="J52" i="15"/>
  <c r="I52" i="15"/>
  <c r="J51" i="15"/>
  <c r="I51" i="15"/>
  <c r="J50" i="15"/>
  <c r="I50" i="15"/>
  <c r="J49" i="15"/>
  <c r="I49" i="15"/>
  <c r="J48" i="15"/>
  <c r="I48" i="15"/>
  <c r="J47" i="15"/>
  <c r="I47" i="15"/>
  <c r="J46" i="15"/>
  <c r="I46" i="15"/>
  <c r="J45" i="15"/>
  <c r="I45" i="15"/>
  <c r="J44" i="15"/>
  <c r="I44" i="15"/>
  <c r="J43" i="15"/>
  <c r="I43" i="15"/>
  <c r="J42" i="15"/>
  <c r="I42" i="15"/>
  <c r="J41" i="15"/>
  <c r="I41" i="15"/>
  <c r="J40" i="15"/>
  <c r="I40" i="15"/>
  <c r="J39" i="15"/>
  <c r="I39" i="15"/>
  <c r="J38" i="15"/>
  <c r="I38" i="15"/>
  <c r="J37" i="15"/>
  <c r="I37" i="15"/>
  <c r="J36" i="15"/>
  <c r="I36" i="15"/>
  <c r="J35" i="15"/>
  <c r="I35" i="15"/>
  <c r="J34" i="15"/>
  <c r="I34" i="15"/>
  <c r="J33" i="15"/>
  <c r="I33" i="15"/>
  <c r="J32" i="15"/>
  <c r="I32" i="15"/>
  <c r="J31" i="15"/>
  <c r="I31" i="15"/>
  <c r="J30" i="15"/>
  <c r="I30" i="15"/>
  <c r="J29" i="15"/>
  <c r="I29" i="15"/>
  <c r="J28" i="15"/>
  <c r="I28" i="15"/>
  <c r="J27" i="15"/>
  <c r="I27" i="15"/>
  <c r="J26" i="15"/>
  <c r="I26" i="15"/>
  <c r="J25" i="15"/>
  <c r="I25" i="15"/>
  <c r="J24" i="15"/>
  <c r="I24" i="15"/>
  <c r="J23" i="15"/>
  <c r="I23" i="15"/>
  <c r="D10" i="15"/>
  <c r="H82" i="14"/>
  <c r="G82" i="14"/>
  <c r="H81" i="14"/>
  <c r="G81" i="14"/>
  <c r="H80" i="14"/>
  <c r="G80" i="14"/>
  <c r="H79" i="14"/>
  <c r="G79" i="14"/>
  <c r="H78" i="14"/>
  <c r="G78" i="14"/>
  <c r="H77" i="14"/>
  <c r="G77" i="14"/>
  <c r="H76" i="14"/>
  <c r="G76" i="14"/>
  <c r="H75" i="14"/>
  <c r="G75" i="14"/>
  <c r="H74" i="14"/>
  <c r="G74" i="14"/>
  <c r="H73" i="14"/>
  <c r="G73" i="14"/>
  <c r="H72" i="14"/>
  <c r="G72" i="14"/>
  <c r="H71" i="14"/>
  <c r="G71" i="14"/>
  <c r="H70" i="14"/>
  <c r="G70" i="14"/>
  <c r="H69" i="14"/>
  <c r="G69" i="14"/>
  <c r="H68" i="14"/>
  <c r="G68" i="14"/>
  <c r="H67" i="14"/>
  <c r="G67" i="14"/>
  <c r="H66" i="14"/>
  <c r="G66" i="14"/>
  <c r="H65" i="14"/>
  <c r="G65" i="14"/>
  <c r="H64" i="14"/>
  <c r="G64" i="14"/>
  <c r="H63" i="14"/>
  <c r="G63" i="14"/>
  <c r="H62" i="14"/>
  <c r="G62" i="14"/>
  <c r="H61" i="14"/>
  <c r="G61" i="14"/>
  <c r="H60" i="14"/>
  <c r="G60" i="14"/>
  <c r="H59" i="14"/>
  <c r="G59" i="14"/>
  <c r="H58" i="14"/>
  <c r="G58" i="14"/>
  <c r="H57" i="14"/>
  <c r="G57" i="14"/>
  <c r="H56" i="14"/>
  <c r="G56" i="14"/>
  <c r="H55" i="14"/>
  <c r="G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48" i="14"/>
  <c r="G48" i="14"/>
  <c r="H47" i="14"/>
  <c r="G47" i="14"/>
  <c r="H46" i="14"/>
  <c r="G46" i="14"/>
  <c r="H45" i="14"/>
  <c r="G45" i="14"/>
  <c r="H44" i="14"/>
  <c r="G44" i="14"/>
  <c r="H43" i="14"/>
  <c r="G43" i="14"/>
  <c r="H42" i="14"/>
  <c r="G42" i="14"/>
  <c r="H41" i="14"/>
  <c r="G41" i="14"/>
  <c r="H40" i="14"/>
  <c r="G40" i="14"/>
  <c r="H39" i="14"/>
  <c r="G39" i="14"/>
  <c r="H38" i="14"/>
  <c r="G38" i="14"/>
  <c r="H37" i="14"/>
  <c r="G37" i="14"/>
  <c r="H36" i="14"/>
  <c r="G36" i="14"/>
  <c r="H35" i="14"/>
  <c r="G35" i="14"/>
  <c r="H34" i="14"/>
  <c r="G34" i="14"/>
  <c r="H33" i="14"/>
  <c r="G33" i="14"/>
  <c r="H32" i="14"/>
  <c r="G32" i="14"/>
  <c r="H31" i="14"/>
  <c r="G31" i="14"/>
  <c r="H30" i="14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D10" i="14"/>
  <c r="H82" i="13"/>
  <c r="G82" i="13"/>
  <c r="H81" i="13"/>
  <c r="G81" i="13"/>
  <c r="H80" i="13"/>
  <c r="G80" i="13"/>
  <c r="H79" i="13"/>
  <c r="G79" i="13"/>
  <c r="H78" i="13"/>
  <c r="G78" i="13"/>
  <c r="H77" i="13"/>
  <c r="G77" i="13"/>
  <c r="H76" i="13"/>
  <c r="G76" i="13"/>
  <c r="H75" i="13"/>
  <c r="G75" i="13"/>
  <c r="H74" i="13"/>
  <c r="G74" i="13"/>
  <c r="H73" i="13"/>
  <c r="G73" i="13"/>
  <c r="H72" i="13"/>
  <c r="G72" i="13"/>
  <c r="H71" i="13"/>
  <c r="G71" i="13"/>
  <c r="H70" i="13"/>
  <c r="G70" i="13"/>
  <c r="H69" i="13"/>
  <c r="G69" i="13"/>
  <c r="H68" i="13"/>
  <c r="G68" i="13"/>
  <c r="H67" i="13"/>
  <c r="G67" i="13"/>
  <c r="H66" i="13"/>
  <c r="G66" i="13"/>
  <c r="H65" i="13"/>
  <c r="G65" i="13"/>
  <c r="H64" i="13"/>
  <c r="G64" i="13"/>
  <c r="I63" i="13"/>
  <c r="H63" i="13"/>
  <c r="G63" i="13"/>
  <c r="H62" i="13"/>
  <c r="G62" i="13"/>
  <c r="H61" i="13"/>
  <c r="G61" i="13"/>
  <c r="H60" i="13"/>
  <c r="G60" i="13"/>
  <c r="H59" i="13"/>
  <c r="G59" i="13"/>
  <c r="H58" i="13"/>
  <c r="G58" i="13"/>
  <c r="H57" i="13"/>
  <c r="G57" i="13"/>
  <c r="H56" i="13"/>
  <c r="G56" i="13"/>
  <c r="H55" i="13"/>
  <c r="G55" i="13"/>
  <c r="H54" i="13"/>
  <c r="G54" i="13"/>
  <c r="H53" i="13"/>
  <c r="G53" i="13"/>
  <c r="H52" i="13"/>
  <c r="G52" i="13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D10" i="13"/>
  <c r="H82" i="12"/>
  <c r="G82" i="12"/>
  <c r="H81" i="12"/>
  <c r="G81" i="12"/>
  <c r="H80" i="12"/>
  <c r="G80" i="12"/>
  <c r="H79" i="12"/>
  <c r="G79" i="12"/>
  <c r="H78" i="12"/>
  <c r="G78" i="12"/>
  <c r="H77" i="12"/>
  <c r="G77" i="12"/>
  <c r="H76" i="12"/>
  <c r="G76" i="12"/>
  <c r="H75" i="12"/>
  <c r="G75" i="12"/>
  <c r="H74" i="12"/>
  <c r="G74" i="12"/>
  <c r="H73" i="12"/>
  <c r="G73" i="12"/>
  <c r="H72" i="12"/>
  <c r="G72" i="12"/>
  <c r="H71" i="12"/>
  <c r="G71" i="12"/>
  <c r="H70" i="12"/>
  <c r="G70" i="12"/>
  <c r="H69" i="12"/>
  <c r="G69" i="12"/>
  <c r="H68" i="12"/>
  <c r="G68" i="12"/>
  <c r="H67" i="12"/>
  <c r="G67" i="12"/>
  <c r="H66" i="12"/>
  <c r="G66" i="12"/>
  <c r="H65" i="12"/>
  <c r="G65" i="12"/>
  <c r="H64" i="12"/>
  <c r="G64" i="12"/>
  <c r="H63" i="12"/>
  <c r="G63" i="12"/>
  <c r="H62" i="12"/>
  <c r="G62" i="12"/>
  <c r="H61" i="12"/>
  <c r="G61" i="12"/>
  <c r="H60" i="12"/>
  <c r="G60" i="12"/>
  <c r="H59" i="12"/>
  <c r="G59" i="12"/>
  <c r="H58" i="12"/>
  <c r="G58" i="12"/>
  <c r="H57" i="12"/>
  <c r="G57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D10" i="12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I23" i="11"/>
  <c r="H23" i="11"/>
  <c r="G23" i="11"/>
  <c r="D10" i="11"/>
  <c r="H82" i="10"/>
  <c r="G82" i="10"/>
  <c r="H81" i="10"/>
  <c r="G81" i="10"/>
  <c r="H80" i="10"/>
  <c r="G80" i="10"/>
  <c r="H79" i="10"/>
  <c r="G79" i="10"/>
  <c r="H78" i="10"/>
  <c r="G78" i="10"/>
  <c r="H77" i="10"/>
  <c r="G77" i="10"/>
  <c r="H76" i="10"/>
  <c r="G76" i="10"/>
  <c r="H75" i="10"/>
  <c r="G75" i="10"/>
  <c r="H74" i="10"/>
  <c r="G74" i="10"/>
  <c r="H73" i="10"/>
  <c r="G73" i="10"/>
  <c r="H72" i="10"/>
  <c r="G72" i="10"/>
  <c r="H71" i="10"/>
  <c r="G71" i="10"/>
  <c r="H70" i="10"/>
  <c r="G70" i="10"/>
  <c r="H69" i="10"/>
  <c r="G69" i="10"/>
  <c r="H68" i="10"/>
  <c r="G68" i="10"/>
  <c r="H67" i="10"/>
  <c r="G67" i="10"/>
  <c r="H66" i="10"/>
  <c r="G66" i="10"/>
  <c r="H65" i="10"/>
  <c r="G65" i="10"/>
  <c r="H64" i="10"/>
  <c r="G64" i="10"/>
  <c r="H63" i="10"/>
  <c r="G63" i="10"/>
  <c r="H62" i="10"/>
  <c r="G62" i="10"/>
  <c r="H61" i="10"/>
  <c r="G61" i="10"/>
  <c r="H60" i="10"/>
  <c r="G60" i="10"/>
  <c r="H59" i="10"/>
  <c r="G59" i="10"/>
  <c r="H58" i="10"/>
  <c r="G58" i="10"/>
  <c r="H57" i="10"/>
  <c r="G57" i="10"/>
  <c r="H56" i="10"/>
  <c r="G56" i="10"/>
  <c r="H55" i="10"/>
  <c r="G55" i="10"/>
  <c r="H54" i="10"/>
  <c r="G54" i="10"/>
  <c r="H53" i="10"/>
  <c r="G53" i="10"/>
  <c r="H52" i="10"/>
  <c r="G52" i="10"/>
  <c r="H51" i="10"/>
  <c r="G51" i="10"/>
  <c r="H50" i="10"/>
  <c r="G50" i="10"/>
  <c r="H49" i="10"/>
  <c r="G49" i="10"/>
  <c r="H48" i="10"/>
  <c r="G48" i="10"/>
  <c r="H47" i="10"/>
  <c r="G47" i="10"/>
  <c r="H46" i="10"/>
  <c r="G46" i="10"/>
  <c r="H45" i="10"/>
  <c r="G45" i="10"/>
  <c r="H44" i="10"/>
  <c r="G44" i="10"/>
  <c r="H43" i="10"/>
  <c r="G43" i="10"/>
  <c r="H42" i="10"/>
  <c r="G42" i="10"/>
  <c r="H41" i="10"/>
  <c r="G41" i="10"/>
  <c r="H40" i="10"/>
  <c r="G40" i="10"/>
  <c r="H39" i="10"/>
  <c r="G39" i="10"/>
  <c r="H38" i="10"/>
  <c r="G38" i="10"/>
  <c r="H37" i="10"/>
  <c r="G37" i="10"/>
  <c r="H36" i="10"/>
  <c r="G36" i="10"/>
  <c r="H35" i="10"/>
  <c r="G35" i="10"/>
  <c r="H34" i="10"/>
  <c r="G34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H25" i="10"/>
  <c r="G25" i="10"/>
  <c r="H24" i="10"/>
  <c r="G24" i="10"/>
  <c r="H23" i="10"/>
  <c r="G23" i="10"/>
  <c r="D10" i="10"/>
  <c r="H82" i="9"/>
  <c r="G82" i="9"/>
  <c r="H81" i="9"/>
  <c r="G81" i="9"/>
  <c r="H80" i="9"/>
  <c r="G80" i="9"/>
  <c r="H79" i="9"/>
  <c r="G79" i="9"/>
  <c r="H78" i="9"/>
  <c r="G78" i="9"/>
  <c r="H77" i="9"/>
  <c r="G77" i="9"/>
  <c r="H76" i="9"/>
  <c r="G76" i="9"/>
  <c r="H75" i="9"/>
  <c r="G75" i="9"/>
  <c r="H74" i="9"/>
  <c r="G74" i="9"/>
  <c r="H73" i="9"/>
  <c r="G73" i="9"/>
  <c r="H72" i="9"/>
  <c r="G72" i="9"/>
  <c r="H71" i="9"/>
  <c r="G71" i="9"/>
  <c r="H70" i="9"/>
  <c r="G70" i="9"/>
  <c r="H69" i="9"/>
  <c r="G69" i="9"/>
  <c r="H68" i="9"/>
  <c r="G68" i="9"/>
  <c r="H67" i="9"/>
  <c r="G67" i="9"/>
  <c r="H66" i="9"/>
  <c r="G66" i="9"/>
  <c r="H65" i="9"/>
  <c r="G65" i="9"/>
  <c r="H64" i="9"/>
  <c r="G64" i="9"/>
  <c r="H63" i="9"/>
  <c r="G63" i="9"/>
  <c r="H62" i="9"/>
  <c r="G62" i="9"/>
  <c r="H61" i="9"/>
  <c r="G61" i="9"/>
  <c r="H60" i="9"/>
  <c r="G60" i="9"/>
  <c r="H59" i="9"/>
  <c r="G59" i="9"/>
  <c r="H58" i="9"/>
  <c r="G58" i="9"/>
  <c r="H57" i="9"/>
  <c r="G57" i="9"/>
  <c r="H56" i="9"/>
  <c r="G56" i="9"/>
  <c r="I55" i="9"/>
  <c r="H55" i="9"/>
  <c r="G55" i="9"/>
  <c r="H54" i="9"/>
  <c r="G54" i="9"/>
  <c r="H53" i="9"/>
  <c r="G53" i="9"/>
  <c r="H52" i="9"/>
  <c r="G52" i="9"/>
  <c r="H51" i="9"/>
  <c r="G51" i="9"/>
  <c r="H50" i="9"/>
  <c r="G50" i="9"/>
  <c r="H49" i="9"/>
  <c r="G49" i="9"/>
  <c r="H48" i="9"/>
  <c r="G48" i="9"/>
  <c r="H47" i="9"/>
  <c r="G47" i="9"/>
  <c r="H46" i="9"/>
  <c r="G46" i="9"/>
  <c r="H45" i="9"/>
  <c r="G45" i="9"/>
  <c r="I44" i="9"/>
  <c r="H44" i="9"/>
  <c r="G44" i="9"/>
  <c r="H43" i="9"/>
  <c r="G43" i="9"/>
  <c r="H42" i="9"/>
  <c r="G42" i="9"/>
  <c r="H41" i="9"/>
  <c r="G41" i="9"/>
  <c r="H40" i="9"/>
  <c r="G40" i="9"/>
  <c r="H39" i="9"/>
  <c r="G39" i="9"/>
  <c r="H38" i="9"/>
  <c r="G38" i="9"/>
  <c r="H37" i="9"/>
  <c r="G37" i="9"/>
  <c r="H36" i="9"/>
  <c r="G36" i="9"/>
  <c r="H35" i="9"/>
  <c r="G35" i="9"/>
  <c r="H34" i="9"/>
  <c r="G34" i="9"/>
  <c r="H33" i="9"/>
  <c r="G33" i="9"/>
  <c r="H32" i="9"/>
  <c r="G32" i="9"/>
  <c r="H31" i="9"/>
  <c r="G31" i="9"/>
  <c r="H30" i="9"/>
  <c r="G30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D10" i="9"/>
  <c r="H82" i="8"/>
  <c r="G82" i="8"/>
  <c r="H81" i="8"/>
  <c r="G81" i="8"/>
  <c r="H80" i="8"/>
  <c r="G80" i="8"/>
  <c r="H79" i="8"/>
  <c r="G79" i="8"/>
  <c r="H78" i="8"/>
  <c r="G78" i="8"/>
  <c r="H77" i="8"/>
  <c r="G77" i="8"/>
  <c r="H76" i="8"/>
  <c r="G76" i="8"/>
  <c r="H75" i="8"/>
  <c r="G75" i="8"/>
  <c r="H74" i="8"/>
  <c r="G74" i="8"/>
  <c r="H73" i="8"/>
  <c r="G73" i="8"/>
  <c r="H72" i="8"/>
  <c r="G72" i="8"/>
  <c r="H71" i="8"/>
  <c r="G71" i="8"/>
  <c r="H70" i="8"/>
  <c r="G70" i="8"/>
  <c r="H69" i="8"/>
  <c r="G69" i="8"/>
  <c r="H68" i="8"/>
  <c r="G68" i="8"/>
  <c r="H67" i="8"/>
  <c r="G67" i="8"/>
  <c r="H66" i="8"/>
  <c r="G66" i="8"/>
  <c r="H65" i="8"/>
  <c r="G65" i="8"/>
  <c r="H64" i="8"/>
  <c r="G64" i="8"/>
  <c r="H63" i="8"/>
  <c r="G63" i="8"/>
  <c r="H62" i="8"/>
  <c r="G62" i="8"/>
  <c r="H61" i="8"/>
  <c r="G61" i="8"/>
  <c r="H60" i="8"/>
  <c r="G60" i="8"/>
  <c r="H59" i="8"/>
  <c r="G59" i="8"/>
  <c r="H58" i="8"/>
  <c r="G58" i="8"/>
  <c r="H57" i="8"/>
  <c r="G57" i="8"/>
  <c r="H56" i="8"/>
  <c r="G56" i="8"/>
  <c r="H55" i="8"/>
  <c r="G55" i="8"/>
  <c r="H54" i="8"/>
  <c r="G54" i="8"/>
  <c r="H53" i="8"/>
  <c r="G53" i="8"/>
  <c r="H52" i="8"/>
  <c r="G52" i="8"/>
  <c r="H51" i="8"/>
  <c r="G51" i="8"/>
  <c r="H50" i="8"/>
  <c r="G50" i="8"/>
  <c r="H49" i="8"/>
  <c r="G49" i="8"/>
  <c r="H48" i="8"/>
  <c r="G48" i="8"/>
  <c r="H47" i="8"/>
  <c r="G47" i="8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9" i="8"/>
  <c r="G39" i="8"/>
  <c r="H38" i="8"/>
  <c r="G38" i="8"/>
  <c r="H37" i="8"/>
  <c r="G37" i="8"/>
  <c r="H36" i="8"/>
  <c r="G36" i="8"/>
  <c r="H35" i="8"/>
  <c r="G35" i="8"/>
  <c r="H34" i="8"/>
  <c r="G34" i="8"/>
  <c r="H33" i="8"/>
  <c r="G33" i="8"/>
  <c r="H32" i="8"/>
  <c r="G32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D10" i="8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D10" i="7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D10" i="6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D10" i="5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D10" i="4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N12" i="2"/>
  <c r="M12" i="2"/>
  <c r="L12" i="2"/>
  <c r="K12" i="2"/>
  <c r="J12" i="2"/>
  <c r="I12" i="2"/>
  <c r="N11" i="2"/>
  <c r="M11" i="2"/>
  <c r="L11" i="2"/>
  <c r="K11" i="2"/>
  <c r="J11" i="2"/>
  <c r="I11" i="2"/>
  <c r="O10" i="2"/>
  <c r="N10" i="2"/>
  <c r="M10" i="2"/>
  <c r="L10" i="2"/>
  <c r="K10" i="2"/>
  <c r="J10" i="2"/>
  <c r="I10" i="2"/>
  <c r="O9" i="2"/>
  <c r="N9" i="2"/>
  <c r="M9" i="2"/>
  <c r="L9" i="2"/>
  <c r="K9" i="2"/>
  <c r="J9" i="2"/>
  <c r="I9" i="2"/>
  <c r="N8" i="2"/>
  <c r="M8" i="2"/>
  <c r="L8" i="2"/>
  <c r="K8" i="2"/>
  <c r="J8" i="2"/>
  <c r="I8" i="2"/>
  <c r="H82" i="28" l="1"/>
  <c r="I82" i="28" s="1"/>
  <c r="H72" i="28"/>
  <c r="I72" i="28" s="1"/>
  <c r="H54" i="28"/>
  <c r="I54" i="28" s="1"/>
  <c r="H49" i="28"/>
  <c r="I49" i="28" s="1"/>
  <c r="H47" i="28"/>
  <c r="H38" i="28"/>
  <c r="I38" i="28" s="1"/>
  <c r="H35" i="28"/>
  <c r="H31" i="28"/>
  <c r="I31" i="28" s="1"/>
  <c r="H30" i="28"/>
  <c r="I30" i="28" s="1"/>
  <c r="I75" i="27"/>
  <c r="J75" i="27" s="1"/>
  <c r="I67" i="27"/>
  <c r="J67" i="27" s="1"/>
  <c r="I66" i="27"/>
  <c r="J66" i="27" s="1"/>
  <c r="I65" i="27"/>
  <c r="J65" i="27" s="1"/>
  <c r="I64" i="27"/>
  <c r="J64" i="27" s="1"/>
  <c r="I63" i="27"/>
  <c r="J63" i="27" s="1"/>
  <c r="I62" i="27"/>
  <c r="J62" i="27" s="1"/>
  <c r="I47" i="27"/>
  <c r="I46" i="27"/>
  <c r="J46" i="27" s="1"/>
  <c r="I39" i="27"/>
  <c r="J39" i="27" s="1"/>
  <c r="I33" i="27"/>
  <c r="J33" i="27" s="1"/>
  <c r="I32" i="27"/>
  <c r="J32" i="27" s="1"/>
  <c r="I30" i="27"/>
  <c r="J30" i="27" s="1"/>
  <c r="I29" i="27"/>
  <c r="J29" i="27" s="1"/>
  <c r="I81" i="26"/>
  <c r="J81" i="26" s="1"/>
  <c r="I78" i="26"/>
  <c r="J78" i="26" s="1"/>
  <c r="I77" i="26"/>
  <c r="J77" i="26" s="1"/>
  <c r="I75" i="26"/>
  <c r="J75" i="26" s="1"/>
  <c r="I71" i="26"/>
  <c r="I70" i="26"/>
  <c r="J70" i="26" s="1"/>
  <c r="I59" i="26"/>
  <c r="I58" i="26"/>
  <c r="J58" i="26" s="1"/>
  <c r="I57" i="26"/>
  <c r="J57" i="26" s="1"/>
  <c r="I56" i="26"/>
  <c r="J56" i="26" s="1"/>
  <c r="I53" i="26"/>
  <c r="J53" i="26" s="1"/>
  <c r="I52" i="26"/>
  <c r="J52" i="26" s="1"/>
  <c r="I51" i="26"/>
  <c r="J51" i="26" s="1"/>
  <c r="I48" i="26"/>
  <c r="J48" i="26" s="1"/>
  <c r="I47" i="26"/>
  <c r="I46" i="26"/>
  <c r="J46" i="26" s="1"/>
  <c r="I39" i="26"/>
  <c r="J39" i="26" s="1"/>
  <c r="I38" i="26"/>
  <c r="J38" i="26" s="1"/>
  <c r="I37" i="26"/>
  <c r="J37" i="26" s="1"/>
  <c r="J35" i="26"/>
  <c r="I73" i="25"/>
  <c r="J73" i="25" s="1"/>
  <c r="I67" i="25"/>
  <c r="J67" i="25" s="1"/>
  <c r="I60" i="25"/>
  <c r="J60" i="25" s="1"/>
  <c r="I58" i="25"/>
  <c r="J58" i="25" s="1"/>
  <c r="I52" i="25"/>
  <c r="J52" i="25" s="1"/>
  <c r="I51" i="25"/>
  <c r="J51" i="25" s="1"/>
  <c r="I50" i="25"/>
  <c r="J50" i="25" s="1"/>
  <c r="I46" i="25"/>
  <c r="J46" i="25" s="1"/>
  <c r="I41" i="25"/>
  <c r="J41" i="25" s="1"/>
  <c r="I31" i="25"/>
  <c r="J31" i="25" s="1"/>
  <c r="I30" i="25"/>
  <c r="J30" i="25" s="1"/>
  <c r="I28" i="25"/>
  <c r="J28" i="25" s="1"/>
  <c r="J27" i="25"/>
  <c r="I80" i="24"/>
  <c r="J80" i="24" s="1"/>
  <c r="I79" i="24"/>
  <c r="J79" i="24" s="1"/>
  <c r="I78" i="24"/>
  <c r="J78" i="24" s="1"/>
  <c r="I76" i="24"/>
  <c r="J76" i="24" s="1"/>
  <c r="I75" i="24"/>
  <c r="J75" i="24" s="1"/>
  <c r="I74" i="24"/>
  <c r="J74" i="24" s="1"/>
  <c r="I73" i="24"/>
  <c r="J73" i="24" s="1"/>
  <c r="I68" i="24"/>
  <c r="J68" i="24" s="1"/>
  <c r="I67" i="24"/>
  <c r="J67" i="24" s="1"/>
  <c r="I66" i="24"/>
  <c r="J66" i="24" s="1"/>
  <c r="I63" i="24"/>
  <c r="J63" i="24" s="1"/>
  <c r="I62" i="24"/>
  <c r="J62" i="24" s="1"/>
  <c r="I51" i="24"/>
  <c r="J51" i="24" s="1"/>
  <c r="I46" i="24"/>
  <c r="J46" i="24" s="1"/>
  <c r="I42" i="24"/>
  <c r="J42" i="24" s="1"/>
  <c r="I41" i="24"/>
  <c r="J41" i="24" s="1"/>
  <c r="I36" i="24"/>
  <c r="J36" i="24" s="1"/>
  <c r="I29" i="24"/>
  <c r="J29" i="24" s="1"/>
  <c r="I28" i="24"/>
  <c r="J28" i="24" s="1"/>
  <c r="I27" i="24"/>
  <c r="J27" i="24" s="1"/>
  <c r="I24" i="24"/>
  <c r="J24" i="24" s="1"/>
  <c r="I51" i="23"/>
  <c r="J51" i="23" s="1"/>
  <c r="I50" i="23"/>
  <c r="J50" i="23" s="1"/>
  <c r="I42" i="23"/>
  <c r="J42" i="23" s="1"/>
  <c r="I36" i="23"/>
  <c r="J36" i="23" s="1"/>
  <c r="I27" i="23"/>
  <c r="J27" i="23" s="1"/>
  <c r="J23" i="23"/>
  <c r="H70" i="22"/>
  <c r="I70" i="22" s="1"/>
  <c r="H69" i="22"/>
  <c r="I69" i="22" s="1"/>
  <c r="H68" i="22"/>
  <c r="I68" i="22" s="1"/>
  <c r="H64" i="22"/>
  <c r="I64" i="22" s="1"/>
  <c r="H59" i="22"/>
  <c r="H54" i="22"/>
  <c r="I54" i="22" s="1"/>
  <c r="I44" i="22"/>
  <c r="H25" i="22"/>
  <c r="I25" i="22" s="1"/>
  <c r="H24" i="22"/>
  <c r="I24" i="22" s="1"/>
  <c r="I72" i="21"/>
  <c r="J72" i="21" s="1"/>
  <c r="I63" i="21"/>
  <c r="J63" i="21" s="1"/>
  <c r="I62" i="21"/>
  <c r="J62" i="21" s="1"/>
  <c r="I58" i="21"/>
  <c r="J58" i="21" s="1"/>
  <c r="I53" i="21"/>
  <c r="J53" i="21" s="1"/>
  <c r="I51" i="21"/>
  <c r="J51" i="21" s="1"/>
  <c r="I46" i="21"/>
  <c r="J46" i="21" s="1"/>
  <c r="I45" i="21"/>
  <c r="J45" i="21" s="1"/>
  <c r="I44" i="21"/>
  <c r="J44" i="21" s="1"/>
  <c r="I38" i="21"/>
  <c r="J38" i="21" s="1"/>
  <c r="I34" i="21"/>
  <c r="J34" i="21" s="1"/>
  <c r="I32" i="21"/>
  <c r="J32" i="21" s="1"/>
  <c r="I25" i="21"/>
  <c r="J25" i="21" s="1"/>
  <c r="I23" i="21"/>
  <c r="I75" i="20"/>
  <c r="J75" i="20" s="1"/>
  <c r="I68" i="20"/>
  <c r="J68" i="20" s="1"/>
  <c r="I65" i="20"/>
  <c r="J65" i="20" s="1"/>
  <c r="I62" i="20"/>
  <c r="J62" i="20" s="1"/>
  <c r="I52" i="20"/>
  <c r="J52" i="20" s="1"/>
  <c r="I44" i="20"/>
  <c r="J44" i="20" s="1"/>
  <c r="I36" i="20"/>
  <c r="J36" i="20" s="1"/>
  <c r="I28" i="20"/>
  <c r="J28" i="20" s="1"/>
  <c r="I26" i="20"/>
  <c r="J26" i="20" s="1"/>
  <c r="I24" i="20"/>
  <c r="J24" i="20" s="1"/>
  <c r="H74" i="19"/>
  <c r="I74" i="19" s="1"/>
  <c r="H73" i="19"/>
  <c r="I73" i="19" s="1"/>
  <c r="H71" i="19"/>
  <c r="H64" i="19"/>
  <c r="I64" i="19" s="1"/>
  <c r="H62" i="19"/>
  <c r="I62" i="19" s="1"/>
  <c r="H59" i="19"/>
  <c r="H52" i="19"/>
  <c r="I52" i="19" s="1"/>
  <c r="H39" i="19"/>
  <c r="I39" i="19" s="1"/>
  <c r="H35" i="19"/>
  <c r="H29" i="19"/>
  <c r="I29" i="19" s="1"/>
  <c r="H25" i="19"/>
  <c r="I25" i="19" s="1"/>
  <c r="J73" i="18"/>
  <c r="K73" i="18" s="1"/>
  <c r="J70" i="18"/>
  <c r="K70" i="18" s="1"/>
  <c r="J60" i="18"/>
  <c r="K60" i="18" s="1"/>
  <c r="J53" i="18"/>
  <c r="K53" i="18" s="1"/>
  <c r="J44" i="18"/>
  <c r="K44" i="18" s="1"/>
  <c r="J43" i="18"/>
  <c r="K43" i="18" s="1"/>
  <c r="J42" i="18"/>
  <c r="K42" i="18" s="1"/>
  <c r="J35" i="18"/>
  <c r="H80" i="17"/>
  <c r="I80" i="17" s="1"/>
  <c r="H60" i="17"/>
  <c r="I60" i="17" s="1"/>
  <c r="H57" i="17"/>
  <c r="I57" i="17" s="1"/>
  <c r="H50" i="17"/>
  <c r="I50" i="17" s="1"/>
  <c r="H49" i="17"/>
  <c r="I49" i="17" s="1"/>
  <c r="H47" i="17"/>
  <c r="H42" i="17"/>
  <c r="I42" i="17" s="1"/>
  <c r="H30" i="17"/>
  <c r="I30" i="17" s="1"/>
  <c r="H29" i="17"/>
  <c r="I29" i="17" s="1"/>
  <c r="H28" i="17"/>
  <c r="I28" i="17" s="1"/>
  <c r="I81" i="16"/>
  <c r="I76" i="16"/>
  <c r="J75" i="16"/>
  <c r="I74" i="16"/>
  <c r="J69" i="16"/>
  <c r="J66" i="16"/>
  <c r="I63" i="16"/>
  <c r="I57" i="16"/>
  <c r="I55" i="16"/>
  <c r="J53" i="16"/>
  <c r="I52" i="16"/>
  <c r="I48" i="16"/>
  <c r="J44" i="16"/>
  <c r="J43" i="16"/>
  <c r="I40" i="16"/>
  <c r="I38" i="16"/>
  <c r="J36" i="16"/>
  <c r="I33" i="16"/>
  <c r="J31" i="16"/>
  <c r="J28" i="16"/>
  <c r="J26" i="16"/>
  <c r="J24" i="16"/>
  <c r="J23" i="16"/>
  <c r="K78" i="15"/>
  <c r="L78" i="15" s="1"/>
  <c r="K74" i="15"/>
  <c r="L74" i="15" s="1"/>
  <c r="K73" i="15"/>
  <c r="L73" i="15" s="1"/>
  <c r="K71" i="15"/>
  <c r="K65" i="15"/>
  <c r="L65" i="15" s="1"/>
  <c r="K61" i="15"/>
  <c r="L61" i="15" s="1"/>
  <c r="K56" i="15"/>
  <c r="L56" i="15" s="1"/>
  <c r="K49" i="15"/>
  <c r="L49" i="15" s="1"/>
  <c r="K47" i="15"/>
  <c r="K41" i="15"/>
  <c r="L41" i="15" s="1"/>
  <c r="K40" i="15"/>
  <c r="L40" i="15" s="1"/>
  <c r="K36" i="15"/>
  <c r="L36" i="15" s="1"/>
  <c r="K30" i="15"/>
  <c r="L30" i="15" s="1"/>
  <c r="K27" i="15"/>
  <c r="L27" i="15" s="1"/>
  <c r="K26" i="15"/>
  <c r="L26" i="15" s="1"/>
  <c r="I71" i="14"/>
  <c r="I68" i="14"/>
  <c r="J68" i="14" s="1"/>
  <c r="I65" i="14"/>
  <c r="J65" i="14" s="1"/>
  <c r="I64" i="14"/>
  <c r="J64" i="14" s="1"/>
  <c r="I62" i="14"/>
  <c r="J62" i="14" s="1"/>
  <c r="I57" i="14"/>
  <c r="J57" i="14" s="1"/>
  <c r="I55" i="14"/>
  <c r="J55" i="14" s="1"/>
  <c r="I54" i="14"/>
  <c r="J54" i="14" s="1"/>
  <c r="I50" i="14"/>
  <c r="J50" i="14" s="1"/>
  <c r="I37" i="14"/>
  <c r="J37" i="14" s="1"/>
  <c r="I36" i="14"/>
  <c r="J36" i="14" s="1"/>
  <c r="I76" i="13"/>
  <c r="J76" i="13" s="1"/>
  <c r="I69" i="13"/>
  <c r="J69" i="13" s="1"/>
  <c r="J63" i="13"/>
  <c r="I62" i="13"/>
  <c r="J62" i="13" s="1"/>
  <c r="I79" i="12"/>
  <c r="J79" i="12" s="1"/>
  <c r="I78" i="12"/>
  <c r="J78" i="12" s="1"/>
  <c r="I68" i="12"/>
  <c r="J68" i="12" s="1"/>
  <c r="I62" i="12"/>
  <c r="J62" i="12" s="1"/>
  <c r="I58" i="12"/>
  <c r="J58" i="12" s="1"/>
  <c r="I39" i="12"/>
  <c r="J39" i="12" s="1"/>
  <c r="I29" i="12"/>
  <c r="J29" i="12" s="1"/>
  <c r="I28" i="12"/>
  <c r="J28" i="12" s="1"/>
  <c r="I27" i="12"/>
  <c r="J27" i="12" s="1"/>
  <c r="I81" i="11"/>
  <c r="H74" i="11"/>
  <c r="I73" i="11"/>
  <c r="I72" i="11"/>
  <c r="I67" i="11"/>
  <c r="H62" i="11"/>
  <c r="I61" i="11"/>
  <c r="I53" i="11"/>
  <c r="H52" i="11"/>
  <c r="H50" i="11"/>
  <c r="H49" i="11"/>
  <c r="I47" i="11"/>
  <c r="H45" i="11"/>
  <c r="H44" i="11"/>
  <c r="H42" i="11"/>
  <c r="H41" i="11"/>
  <c r="H35" i="11"/>
  <c r="H31" i="11"/>
  <c r="I28" i="11"/>
  <c r="H25" i="11"/>
  <c r="I80" i="10"/>
  <c r="J80" i="10" s="1"/>
  <c r="I72" i="10"/>
  <c r="J72" i="10" s="1"/>
  <c r="I63" i="10"/>
  <c r="J63" i="10" s="1"/>
  <c r="I59" i="10"/>
  <c r="I58" i="10"/>
  <c r="J58" i="10" s="1"/>
  <c r="I57" i="10"/>
  <c r="J57" i="10" s="1"/>
  <c r="I55" i="10"/>
  <c r="J55" i="10" s="1"/>
  <c r="I53" i="10"/>
  <c r="J53" i="10" s="1"/>
  <c r="I50" i="10"/>
  <c r="J50" i="10" s="1"/>
  <c r="I40" i="10"/>
  <c r="J40" i="10" s="1"/>
  <c r="I39" i="10"/>
  <c r="J39" i="10" s="1"/>
  <c r="I32" i="10"/>
  <c r="J32" i="10" s="1"/>
  <c r="I28" i="10"/>
  <c r="J28" i="10" s="1"/>
  <c r="I25" i="10"/>
  <c r="J25" i="10" s="1"/>
  <c r="I23" i="10"/>
  <c r="I80" i="9"/>
  <c r="J80" i="9" s="1"/>
  <c r="I79" i="9"/>
  <c r="J79" i="9" s="1"/>
  <c r="I75" i="9"/>
  <c r="J75" i="9" s="1"/>
  <c r="I71" i="9"/>
  <c r="I68" i="9"/>
  <c r="J68" i="9" s="1"/>
  <c r="I67" i="9"/>
  <c r="J67" i="9" s="1"/>
  <c r="I51" i="9"/>
  <c r="J51" i="9" s="1"/>
  <c r="I49" i="9"/>
  <c r="J49" i="9" s="1"/>
  <c r="I43" i="9"/>
  <c r="J43" i="9" s="1"/>
  <c r="I42" i="9"/>
  <c r="J42" i="9" s="1"/>
  <c r="I38" i="9"/>
  <c r="J38" i="9" s="1"/>
  <c r="I76" i="8"/>
  <c r="J76" i="8" s="1"/>
  <c r="I75" i="8"/>
  <c r="J75" i="8" s="1"/>
  <c r="I69" i="8"/>
  <c r="J69" i="8" s="1"/>
  <c r="I59" i="8"/>
  <c r="I42" i="8"/>
  <c r="J42" i="8" s="1"/>
  <c r="I41" i="8"/>
  <c r="J41" i="8" s="1"/>
  <c r="I34" i="8"/>
  <c r="J34" i="8" s="1"/>
  <c r="I32" i="8"/>
  <c r="J32" i="8" s="1"/>
  <c r="I31" i="8"/>
  <c r="J31" i="8" s="1"/>
  <c r="I29" i="8"/>
  <c r="J29" i="8" s="1"/>
  <c r="I24" i="8"/>
  <c r="J24" i="8" s="1"/>
  <c r="I79" i="7"/>
  <c r="J79" i="7" s="1"/>
  <c r="I72" i="7"/>
  <c r="J72" i="7" s="1"/>
  <c r="I71" i="7"/>
  <c r="I64" i="7"/>
  <c r="J64" i="7" s="1"/>
  <c r="I53" i="7"/>
  <c r="J53" i="7" s="1"/>
  <c r="I46" i="7"/>
  <c r="J46" i="7" s="1"/>
  <c r="I37" i="7"/>
  <c r="J37" i="7" s="1"/>
  <c r="I31" i="7"/>
  <c r="J31" i="7" s="1"/>
  <c r="I27" i="7"/>
  <c r="J27" i="7" s="1"/>
  <c r="H76" i="6"/>
  <c r="I76" i="6" s="1"/>
  <c r="H70" i="6"/>
  <c r="I70" i="6" s="1"/>
  <c r="H66" i="6"/>
  <c r="I66" i="6" s="1"/>
  <c r="H63" i="6"/>
  <c r="I63" i="6" s="1"/>
  <c r="H60" i="6"/>
  <c r="I60" i="6" s="1"/>
  <c r="H57" i="6"/>
  <c r="I57" i="6" s="1"/>
  <c r="H54" i="6"/>
  <c r="I54" i="6" s="1"/>
  <c r="H51" i="6"/>
  <c r="I51" i="6" s="1"/>
  <c r="H50" i="6"/>
  <c r="I50" i="6" s="1"/>
  <c r="H31" i="6"/>
  <c r="I31" i="6" s="1"/>
  <c r="H26" i="6"/>
  <c r="I26" i="6" s="1"/>
  <c r="H75" i="5"/>
  <c r="I75" i="5" s="1"/>
  <c r="H71" i="5"/>
  <c r="H67" i="5"/>
  <c r="I67" i="5" s="1"/>
  <c r="H61" i="5"/>
  <c r="I61" i="5" s="1"/>
  <c r="H53" i="5"/>
  <c r="I53" i="5" s="1"/>
  <c r="H50" i="5"/>
  <c r="I50" i="5" s="1"/>
  <c r="H43" i="5"/>
  <c r="I43" i="5" s="1"/>
  <c r="H38" i="5"/>
  <c r="I38" i="5" s="1"/>
  <c r="H28" i="5"/>
  <c r="I28" i="5" s="1"/>
  <c r="H27" i="5"/>
  <c r="I27" i="5" s="1"/>
  <c r="H24" i="5"/>
  <c r="I24" i="5" s="1"/>
  <c r="I81" i="4"/>
  <c r="J81" i="4" s="1"/>
  <c r="I71" i="4"/>
  <c r="I68" i="4"/>
  <c r="J68" i="4" s="1"/>
  <c r="I54" i="4"/>
  <c r="J54" i="4" s="1"/>
  <c r="I48" i="4"/>
  <c r="J48" i="4" s="1"/>
  <c r="I40" i="4"/>
  <c r="J40" i="4" s="1"/>
  <c r="X12" i="2"/>
  <c r="W12" i="2"/>
  <c r="V12" i="2"/>
  <c r="U12" i="2"/>
  <c r="T12" i="2"/>
  <c r="S12" i="2"/>
  <c r="R12" i="2"/>
  <c r="Q12" i="2"/>
  <c r="P12" i="2"/>
  <c r="O12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J80" i="18"/>
  <c r="K80" i="18" s="1"/>
  <c r="J74" i="18"/>
  <c r="K74" i="18" s="1"/>
  <c r="J72" i="18"/>
  <c r="K72" i="18" s="1"/>
  <c r="J33" i="18"/>
  <c r="K33" i="18" s="1"/>
  <c r="J27" i="18"/>
  <c r="K27" i="18" s="1"/>
  <c r="J25" i="18"/>
  <c r="K25" i="18" s="1"/>
  <c r="J23" i="18"/>
  <c r="H68" i="17"/>
  <c r="I68" i="17" s="1"/>
  <c r="H64" i="17"/>
  <c r="I64" i="17" s="1"/>
  <c r="I73" i="14"/>
  <c r="J73" i="14" s="1"/>
  <c r="I45" i="14"/>
  <c r="J45" i="14" s="1"/>
  <c r="I38" i="14"/>
  <c r="J38" i="14" s="1"/>
  <c r="I24" i="14"/>
  <c r="J24" i="14" s="1"/>
  <c r="I64" i="13"/>
  <c r="J64" i="13" s="1"/>
  <c r="I25" i="13"/>
  <c r="J25" i="13" s="1"/>
  <c r="I59" i="12"/>
  <c r="I36" i="12"/>
  <c r="J36" i="12" s="1"/>
  <c r="I24" i="12"/>
  <c r="J24" i="12" s="1"/>
  <c r="H71" i="11"/>
  <c r="H70" i="11"/>
  <c r="I65" i="11"/>
  <c r="I63" i="11"/>
  <c r="H60" i="11"/>
  <c r="I41" i="11"/>
  <c r="H28" i="11"/>
  <c r="H24" i="11"/>
  <c r="I73" i="10"/>
  <c r="J73" i="10" s="1"/>
  <c r="I70" i="10"/>
  <c r="J70" i="10" s="1"/>
  <c r="I65" i="10"/>
  <c r="J65" i="10" s="1"/>
  <c r="I45" i="9"/>
  <c r="J45" i="9" s="1"/>
  <c r="I40" i="9"/>
  <c r="J40" i="9" s="1"/>
  <c r="I31" i="9"/>
  <c r="J31" i="9" s="1"/>
  <c r="I25" i="9"/>
  <c r="J25" i="9" s="1"/>
  <c r="I24" i="9"/>
  <c r="J24" i="9" s="1"/>
  <c r="I74" i="8"/>
  <c r="J74" i="8" s="1"/>
  <c r="I61" i="7"/>
  <c r="J61" i="7" s="1"/>
  <c r="I38" i="7"/>
  <c r="J38" i="7" s="1"/>
  <c r="I25" i="7"/>
  <c r="J25" i="7" s="1"/>
  <c r="H81" i="6"/>
  <c r="I81" i="6" s="1"/>
  <c r="H24" i="6"/>
  <c r="I24" i="6" s="1"/>
  <c r="H82" i="5"/>
  <c r="I82" i="5" s="1"/>
  <c r="H69" i="5"/>
  <c r="I69" i="5" s="1"/>
  <c r="H30" i="5"/>
  <c r="I30" i="5" s="1"/>
  <c r="I74" i="4"/>
  <c r="J74" i="4" s="1"/>
  <c r="I52" i="4"/>
  <c r="J52" i="4" s="1"/>
  <c r="I82" i="21"/>
  <c r="J82" i="21" s="1"/>
  <c r="I81" i="20"/>
  <c r="J81" i="20" s="1"/>
  <c r="I66" i="20"/>
  <c r="J66" i="20" s="1"/>
  <c r="H76" i="19"/>
  <c r="I76" i="19" s="1"/>
  <c r="H44" i="19"/>
  <c r="I44" i="19" s="1"/>
  <c r="H23" i="19"/>
  <c r="J78" i="18"/>
  <c r="K78" i="18" s="1"/>
  <c r="J76" i="18"/>
  <c r="K76" i="18" s="1"/>
  <c r="J67" i="18"/>
  <c r="K67" i="18" s="1"/>
  <c r="H81" i="17"/>
  <c r="I81" i="17" s="1"/>
  <c r="H75" i="17"/>
  <c r="I75" i="17" s="1"/>
  <c r="H46" i="17"/>
  <c r="I46" i="17" s="1"/>
  <c r="I68" i="16"/>
  <c r="I54" i="16"/>
  <c r="I49" i="16"/>
  <c r="K82" i="15"/>
  <c r="L82" i="15" s="1"/>
  <c r="K72" i="15"/>
  <c r="L72" i="15" s="1"/>
  <c r="K66" i="15"/>
  <c r="L66" i="15" s="1"/>
  <c r="I81" i="14"/>
  <c r="J81" i="14" s="1"/>
  <c r="I52" i="14"/>
  <c r="J52" i="14" s="1"/>
  <c r="I35" i="14"/>
  <c r="I52" i="13"/>
  <c r="J52" i="13" s="1"/>
  <c r="I70" i="12"/>
  <c r="J70" i="12" s="1"/>
  <c r="I67" i="12"/>
  <c r="J67" i="12" s="1"/>
  <c r="I41" i="12"/>
  <c r="J41" i="12" s="1"/>
  <c r="I80" i="11"/>
  <c r="H69" i="11"/>
  <c r="I25" i="11"/>
  <c r="I70" i="9"/>
  <c r="J70" i="9" s="1"/>
  <c r="J44" i="9"/>
  <c r="I39" i="9"/>
  <c r="J39" i="9" s="1"/>
  <c r="I80" i="7"/>
  <c r="J80" i="7" s="1"/>
  <c r="I48" i="7"/>
  <c r="J48" i="7" s="1"/>
  <c r="I41" i="7"/>
  <c r="J41" i="7" s="1"/>
  <c r="H77" i="6"/>
  <c r="I77" i="6" s="1"/>
  <c r="H32" i="6"/>
  <c r="I32" i="6" s="1"/>
  <c r="H23" i="6"/>
  <c r="H54" i="5"/>
  <c r="I54" i="5" s="1"/>
  <c r="I60" i="4"/>
  <c r="J60" i="4" s="1"/>
  <c r="H78" i="22"/>
  <c r="I78" i="22" s="1"/>
  <c r="H37" i="22"/>
  <c r="I37" i="22" s="1"/>
  <c r="H33" i="22"/>
  <c r="I33" i="22" s="1"/>
  <c r="H82" i="19"/>
  <c r="I82" i="19" s="1"/>
  <c r="H79" i="19"/>
  <c r="I79" i="19" s="1"/>
  <c r="H78" i="19"/>
  <c r="I78" i="19" s="1"/>
  <c r="H77" i="19"/>
  <c r="I77" i="19" s="1"/>
  <c r="H66" i="19"/>
  <c r="I66" i="19" s="1"/>
  <c r="H65" i="19"/>
  <c r="I65" i="19" s="1"/>
  <c r="H56" i="19"/>
  <c r="I56" i="19" s="1"/>
  <c r="H32" i="19"/>
  <c r="I32" i="19" s="1"/>
  <c r="H30" i="19"/>
  <c r="I30" i="19" s="1"/>
  <c r="H28" i="19"/>
  <c r="I28" i="19" s="1"/>
  <c r="J77" i="18"/>
  <c r="K77" i="18" s="1"/>
  <c r="H69" i="17"/>
  <c r="I69" i="17" s="1"/>
  <c r="H63" i="17"/>
  <c r="I63" i="17" s="1"/>
  <c r="H45" i="17"/>
  <c r="I45" i="17" s="1"/>
  <c r="H39" i="17"/>
  <c r="I39" i="17" s="1"/>
  <c r="H24" i="17"/>
  <c r="I24" i="17" s="1"/>
  <c r="J81" i="16"/>
  <c r="I80" i="16"/>
  <c r="J79" i="16"/>
  <c r="I79" i="16"/>
  <c r="J78" i="16"/>
  <c r="I77" i="16"/>
  <c r="J59" i="16"/>
  <c r="J57" i="16"/>
  <c r="I56" i="16"/>
  <c r="J46" i="16"/>
  <c r="J45" i="16"/>
  <c r="J42" i="16"/>
  <c r="I36" i="16"/>
  <c r="K60" i="15"/>
  <c r="L60" i="15" s="1"/>
  <c r="K39" i="15"/>
  <c r="L39" i="15" s="1"/>
  <c r="K24" i="15"/>
  <c r="L24" i="15" s="1"/>
  <c r="I59" i="14"/>
  <c r="I48" i="13"/>
  <c r="J48" i="13" s="1"/>
  <c r="I60" i="12"/>
  <c r="J60" i="12" s="1"/>
  <c r="I23" i="12"/>
  <c r="I59" i="11"/>
  <c r="I44" i="11"/>
  <c r="I24" i="11"/>
  <c r="I66" i="10"/>
  <c r="J66" i="10" s="1"/>
  <c r="I81" i="9"/>
  <c r="J81" i="9" s="1"/>
  <c r="I78" i="9"/>
  <c r="J78" i="9" s="1"/>
  <c r="I62" i="9"/>
  <c r="J62" i="9" s="1"/>
  <c r="I34" i="9"/>
  <c r="J34" i="9" s="1"/>
  <c r="I32" i="9"/>
  <c r="J32" i="9" s="1"/>
  <c r="I57" i="8"/>
  <c r="J57" i="8" s="1"/>
  <c r="I49" i="8"/>
  <c r="J49" i="8" s="1"/>
  <c r="I47" i="7"/>
  <c r="H35" i="5"/>
  <c r="H74" i="28"/>
  <c r="I74" i="28" s="1"/>
  <c r="H64" i="28"/>
  <c r="I64" i="28" s="1"/>
  <c r="H63" i="28"/>
  <c r="I63" i="28" s="1"/>
  <c r="H62" i="28"/>
  <c r="I62" i="28" s="1"/>
  <c r="H61" i="28"/>
  <c r="I61" i="28" s="1"/>
  <c r="H60" i="28"/>
  <c r="I60" i="28" s="1"/>
  <c r="H59" i="28"/>
  <c r="H58" i="28"/>
  <c r="I58" i="28" s="1"/>
  <c r="H56" i="28"/>
  <c r="I56" i="28" s="1"/>
  <c r="H52" i="28"/>
  <c r="I52" i="28" s="1"/>
  <c r="H51" i="28"/>
  <c r="I51" i="28" s="1"/>
  <c r="H33" i="28"/>
  <c r="I33" i="28" s="1"/>
  <c r="H32" i="28"/>
  <c r="I32" i="28" s="1"/>
  <c r="H27" i="28"/>
  <c r="I27" i="28" s="1"/>
  <c r="H24" i="28"/>
  <c r="I24" i="28" s="1"/>
  <c r="H23" i="28"/>
  <c r="I80" i="26"/>
  <c r="J80" i="26" s="1"/>
  <c r="I79" i="26"/>
  <c r="J79" i="26" s="1"/>
  <c r="I66" i="26"/>
  <c r="J66" i="26" s="1"/>
  <c r="I62" i="26"/>
  <c r="J62" i="26" s="1"/>
  <c r="I61" i="26"/>
  <c r="J61" i="26" s="1"/>
  <c r="I50" i="26"/>
  <c r="J50" i="26" s="1"/>
  <c r="I36" i="26"/>
  <c r="I24" i="26"/>
  <c r="J24" i="26" s="1"/>
  <c r="I63" i="25"/>
  <c r="J63" i="25" s="1"/>
  <c r="I62" i="25"/>
  <c r="J62" i="25" s="1"/>
  <c r="I61" i="25"/>
  <c r="J61" i="25" s="1"/>
  <c r="I53" i="25"/>
  <c r="J53" i="25" s="1"/>
  <c r="I49" i="25"/>
  <c r="J49" i="25" s="1"/>
  <c r="I45" i="25"/>
  <c r="J45" i="25" s="1"/>
  <c r="I44" i="25"/>
  <c r="J44" i="25" s="1"/>
  <c r="I43" i="25"/>
  <c r="J43" i="25" s="1"/>
  <c r="I42" i="25"/>
  <c r="J42" i="25" s="1"/>
  <c r="I39" i="25"/>
  <c r="J39" i="25" s="1"/>
  <c r="I38" i="25"/>
  <c r="J38" i="25" s="1"/>
  <c r="I82" i="24"/>
  <c r="J82" i="24" s="1"/>
  <c r="I81" i="24"/>
  <c r="J81" i="24" s="1"/>
  <c r="I72" i="24"/>
  <c r="J72" i="24" s="1"/>
  <c r="I65" i="24"/>
  <c r="J65" i="24" s="1"/>
  <c r="I53" i="24"/>
  <c r="J53" i="24" s="1"/>
  <c r="I52" i="24"/>
  <c r="J52" i="24" s="1"/>
  <c r="I50" i="24"/>
  <c r="J50" i="24" s="1"/>
  <c r="I26" i="24"/>
  <c r="J26" i="24" s="1"/>
  <c r="I23" i="24"/>
  <c r="I79" i="23"/>
  <c r="J79" i="23" s="1"/>
  <c r="I62" i="23"/>
  <c r="J62" i="23" s="1"/>
  <c r="I61" i="23"/>
  <c r="J61" i="23" s="1"/>
  <c r="I44" i="23"/>
  <c r="J44" i="23" s="1"/>
  <c r="I43" i="23"/>
  <c r="J43" i="23" s="1"/>
  <c r="I41" i="23"/>
  <c r="J41" i="23" s="1"/>
  <c r="I37" i="23"/>
  <c r="J37" i="23" s="1"/>
  <c r="I35" i="23"/>
  <c r="I34" i="23"/>
  <c r="J34" i="23" s="1"/>
  <c r="I28" i="23"/>
  <c r="J28" i="23" s="1"/>
  <c r="H82" i="22"/>
  <c r="I82" i="22" s="1"/>
  <c r="H80" i="22"/>
  <c r="I80" i="22" s="1"/>
  <c r="H79" i="22"/>
  <c r="I79" i="22" s="1"/>
  <c r="H75" i="22"/>
  <c r="I75" i="22" s="1"/>
  <c r="H53" i="22"/>
  <c r="I53" i="22" s="1"/>
  <c r="H47" i="22"/>
  <c r="H46" i="22"/>
  <c r="I46" i="22" s="1"/>
  <c r="H31" i="22"/>
  <c r="I31" i="22" s="1"/>
  <c r="I81" i="21"/>
  <c r="J81" i="21" s="1"/>
  <c r="I78" i="21"/>
  <c r="J78" i="21" s="1"/>
  <c r="I74" i="21"/>
  <c r="J74" i="21" s="1"/>
  <c r="I71" i="21"/>
  <c r="I68" i="21"/>
  <c r="J68" i="21" s="1"/>
  <c r="I60" i="21"/>
  <c r="J60" i="21" s="1"/>
  <c r="I54" i="21"/>
  <c r="J54" i="21" s="1"/>
  <c r="I50" i="21"/>
  <c r="J50" i="21" s="1"/>
  <c r="I49" i="21"/>
  <c r="J49" i="21" s="1"/>
  <c r="I40" i="21"/>
  <c r="J40" i="21" s="1"/>
  <c r="I37" i="21"/>
  <c r="J37" i="21" s="1"/>
  <c r="I27" i="21"/>
  <c r="J27" i="21" s="1"/>
  <c r="I82" i="20"/>
  <c r="J82" i="20" s="1"/>
  <c r="I79" i="20"/>
  <c r="J79" i="20" s="1"/>
  <c r="I74" i="20"/>
  <c r="J74" i="20" s="1"/>
  <c r="I69" i="20"/>
  <c r="J69" i="20" s="1"/>
  <c r="I64" i="20"/>
  <c r="J64" i="20" s="1"/>
  <c r="I60" i="20"/>
  <c r="J60" i="20" s="1"/>
  <c r="I59" i="20"/>
  <c r="I58" i="20"/>
  <c r="J58" i="20" s="1"/>
  <c r="I57" i="20"/>
  <c r="J57" i="20" s="1"/>
  <c r="I50" i="20"/>
  <c r="J50" i="20" s="1"/>
  <c r="I49" i="20"/>
  <c r="J49" i="20" s="1"/>
  <c r="I45" i="20"/>
  <c r="J45" i="20" s="1"/>
  <c r="I37" i="20"/>
  <c r="J37" i="20" s="1"/>
  <c r="I33" i="20"/>
  <c r="J33" i="20" s="1"/>
  <c r="I31" i="20"/>
  <c r="J31" i="20" s="1"/>
  <c r="I23" i="20"/>
  <c r="H51" i="19"/>
  <c r="I51" i="19" s="1"/>
  <c r="H47" i="19"/>
  <c r="H46" i="19"/>
  <c r="I46" i="19" s="1"/>
  <c r="H40" i="19"/>
  <c r="I40" i="19" s="1"/>
  <c r="H37" i="19"/>
  <c r="I37" i="19" s="1"/>
  <c r="I31" i="19"/>
  <c r="H24" i="19"/>
  <c r="I24" i="19" s="1"/>
  <c r="J71" i="18"/>
  <c r="J65" i="18"/>
  <c r="K65" i="18" s="1"/>
  <c r="J57" i="18"/>
  <c r="K57" i="18" s="1"/>
  <c r="J55" i="18"/>
  <c r="K55" i="18" s="1"/>
  <c r="J54" i="18"/>
  <c r="K54" i="18" s="1"/>
  <c r="J50" i="18"/>
  <c r="K50" i="18" s="1"/>
  <c r="J49" i="18"/>
  <c r="K49" i="18" s="1"/>
  <c r="J47" i="18"/>
  <c r="J46" i="18"/>
  <c r="K46" i="18" s="1"/>
  <c r="H82" i="17"/>
  <c r="I82" i="17" s="1"/>
  <c r="H74" i="17"/>
  <c r="I74" i="17" s="1"/>
  <c r="H73" i="17"/>
  <c r="I73" i="17" s="1"/>
  <c r="H72" i="17"/>
  <c r="I72" i="17" s="1"/>
  <c r="H67" i="17"/>
  <c r="I67" i="17" s="1"/>
  <c r="H65" i="17"/>
  <c r="I65" i="17" s="1"/>
  <c r="H35" i="17"/>
  <c r="H31" i="17"/>
  <c r="I31" i="17" s="1"/>
  <c r="I64" i="16"/>
  <c r="J62" i="16"/>
  <c r="I60" i="16"/>
  <c r="I59" i="16"/>
  <c r="I58" i="16"/>
  <c r="J51" i="16"/>
  <c r="J49" i="16"/>
  <c r="I46" i="16"/>
  <c r="I44" i="16"/>
  <c r="J39" i="16"/>
  <c r="J37" i="16"/>
  <c r="J29" i="16"/>
  <c r="I27" i="16"/>
  <c r="I26" i="16"/>
  <c r="K80" i="15"/>
  <c r="L80" i="15" s="1"/>
  <c r="K79" i="15"/>
  <c r="L79" i="15" s="1"/>
  <c r="K75" i="15"/>
  <c r="L75" i="15" s="1"/>
  <c r="K62" i="15"/>
  <c r="L62" i="15" s="1"/>
  <c r="K59" i="15"/>
  <c r="K57" i="15"/>
  <c r="L57" i="15" s="1"/>
  <c r="K54" i="15"/>
  <c r="L54" i="15" s="1"/>
  <c r="K52" i="15"/>
  <c r="L52" i="15" s="1"/>
  <c r="K44" i="15"/>
  <c r="L44" i="15" s="1"/>
  <c r="K43" i="15"/>
  <c r="L43" i="15" s="1"/>
  <c r="K38" i="15"/>
  <c r="L38" i="15" s="1"/>
  <c r="I78" i="14"/>
  <c r="J78" i="14" s="1"/>
  <c r="I72" i="14"/>
  <c r="J72" i="14" s="1"/>
  <c r="I70" i="14"/>
  <c r="J70" i="14" s="1"/>
  <c r="I67" i="14"/>
  <c r="J67" i="14" s="1"/>
  <c r="I66" i="14"/>
  <c r="J66" i="14" s="1"/>
  <c r="I58" i="14"/>
  <c r="J58" i="14" s="1"/>
  <c r="I43" i="14"/>
  <c r="J43" i="14" s="1"/>
  <c r="I78" i="13"/>
  <c r="J78" i="13" s="1"/>
  <c r="I74" i="13"/>
  <c r="J74" i="13" s="1"/>
  <c r="I71" i="13"/>
  <c r="I70" i="13"/>
  <c r="J70" i="13" s="1"/>
  <c r="I61" i="13"/>
  <c r="J61" i="13" s="1"/>
  <c r="I54" i="13"/>
  <c r="J54" i="13" s="1"/>
  <c r="I51" i="13"/>
  <c r="J51" i="13" s="1"/>
  <c r="I50" i="13"/>
  <c r="J50" i="13" s="1"/>
  <c r="I47" i="13"/>
  <c r="I43" i="13"/>
  <c r="J43" i="13" s="1"/>
  <c r="I38" i="13"/>
  <c r="J38" i="13" s="1"/>
  <c r="I37" i="13"/>
  <c r="J37" i="13" s="1"/>
  <c r="I36" i="13"/>
  <c r="J36" i="13" s="1"/>
  <c r="I35" i="13"/>
  <c r="I30" i="13"/>
  <c r="J30" i="13" s="1"/>
  <c r="I28" i="13"/>
  <c r="J28" i="13" s="1"/>
  <c r="I81" i="12"/>
  <c r="J81" i="12" s="1"/>
  <c r="I69" i="12"/>
  <c r="J69" i="12" s="1"/>
  <c r="I61" i="12"/>
  <c r="J61" i="12" s="1"/>
  <c r="I55" i="12"/>
  <c r="J55" i="12" s="1"/>
  <c r="I54" i="12"/>
  <c r="J54" i="12" s="1"/>
  <c r="I53" i="12"/>
  <c r="J53" i="12" s="1"/>
  <c r="I50" i="12"/>
  <c r="J50" i="12" s="1"/>
  <c r="I44" i="12"/>
  <c r="J44" i="12" s="1"/>
  <c r="I31" i="12"/>
  <c r="J31" i="12" s="1"/>
  <c r="I30" i="12"/>
  <c r="J30" i="12" s="1"/>
  <c r="I25" i="12"/>
  <c r="J25" i="12" s="1"/>
  <c r="H76" i="11"/>
  <c r="I70" i="11"/>
  <c r="I66" i="11"/>
  <c r="H65" i="11"/>
  <c r="H58" i="11"/>
  <c r="H57" i="11"/>
  <c r="H55" i="11"/>
  <c r="H51" i="11"/>
  <c r="I49" i="11"/>
  <c r="H48" i="11"/>
  <c r="I40" i="11"/>
  <c r="I39" i="11"/>
  <c r="H39" i="11"/>
  <c r="H38" i="11"/>
  <c r="I34" i="11"/>
  <c r="H33" i="11"/>
  <c r="I30" i="11"/>
  <c r="I82" i="10"/>
  <c r="J82" i="10" s="1"/>
  <c r="I81" i="10"/>
  <c r="J81" i="10" s="1"/>
  <c r="I62" i="10"/>
  <c r="J62" i="10" s="1"/>
  <c r="I54" i="10"/>
  <c r="J54" i="10" s="1"/>
  <c r="I49" i="10"/>
  <c r="J49" i="10" s="1"/>
  <c r="I38" i="10"/>
  <c r="J38" i="10" s="1"/>
  <c r="I35" i="10"/>
  <c r="I65" i="9"/>
  <c r="J65" i="9" s="1"/>
  <c r="I82" i="8"/>
  <c r="J82" i="8" s="1"/>
  <c r="I78" i="8"/>
  <c r="J78" i="8" s="1"/>
  <c r="I63" i="8"/>
  <c r="J63" i="8" s="1"/>
  <c r="I56" i="8"/>
  <c r="J56" i="8" s="1"/>
  <c r="I55" i="8"/>
  <c r="J55" i="8" s="1"/>
  <c r="I46" i="8"/>
  <c r="J46" i="8" s="1"/>
  <c r="I35" i="8"/>
  <c r="I66" i="7"/>
  <c r="J66" i="7" s="1"/>
  <c r="I60" i="7"/>
  <c r="J60" i="7" s="1"/>
  <c r="I59" i="7"/>
  <c r="I52" i="7"/>
  <c r="J52" i="7" s="1"/>
  <c r="I50" i="7"/>
  <c r="J50" i="7" s="1"/>
  <c r="I45" i="7"/>
  <c r="J45" i="7" s="1"/>
  <c r="I44" i="7"/>
  <c r="J44" i="7" s="1"/>
  <c r="H78" i="6"/>
  <c r="I78" i="6" s="1"/>
  <c r="H73" i="6"/>
  <c r="I73" i="6" s="1"/>
  <c r="H71" i="6"/>
  <c r="H67" i="6"/>
  <c r="I67" i="6" s="1"/>
  <c r="H64" i="6"/>
  <c r="I64" i="6" s="1"/>
  <c r="H61" i="6"/>
  <c r="I61" i="6" s="1"/>
  <c r="H53" i="6"/>
  <c r="I53" i="6" s="1"/>
  <c r="H52" i="6"/>
  <c r="I52" i="6" s="1"/>
  <c r="H48" i="6"/>
  <c r="I48" i="6" s="1"/>
  <c r="H46" i="6"/>
  <c r="I46" i="6" s="1"/>
  <c r="H42" i="6"/>
  <c r="I42" i="6" s="1"/>
  <c r="H38" i="6"/>
  <c r="I38" i="6" s="1"/>
  <c r="H30" i="6"/>
  <c r="I30" i="6" s="1"/>
  <c r="H77" i="5"/>
  <c r="I77" i="5" s="1"/>
  <c r="H63" i="5"/>
  <c r="I63" i="5" s="1"/>
  <c r="H59" i="5"/>
  <c r="H58" i="5"/>
  <c r="I58" i="5" s="1"/>
  <c r="H56" i="5"/>
  <c r="I56" i="5" s="1"/>
  <c r="H47" i="5"/>
  <c r="H26" i="5"/>
  <c r="I26" i="5" s="1"/>
  <c r="H25" i="5"/>
  <c r="I25" i="5" s="1"/>
  <c r="I79" i="4"/>
  <c r="J79" i="4" s="1"/>
  <c r="I66" i="4"/>
  <c r="J66" i="4" s="1"/>
  <c r="I61" i="4"/>
  <c r="J61" i="4" s="1"/>
  <c r="I51" i="4"/>
  <c r="J51" i="4" s="1"/>
  <c r="I49" i="4"/>
  <c r="J49" i="4" s="1"/>
  <c r="I45" i="4"/>
  <c r="J45" i="4" s="1"/>
  <c r="I42" i="4"/>
  <c r="J42" i="4" s="1"/>
  <c r="I29" i="4"/>
  <c r="J29" i="4" s="1"/>
  <c r="I26" i="4"/>
  <c r="J26" i="4" s="1"/>
  <c r="I25" i="4"/>
  <c r="J25" i="4" s="1"/>
  <c r="I24" i="4"/>
  <c r="J24" i="4" s="1"/>
  <c r="H78" i="28"/>
  <c r="I78" i="28" s="1"/>
  <c r="H77" i="28"/>
  <c r="I77" i="28" s="1"/>
  <c r="H76" i="28"/>
  <c r="I76" i="28" s="1"/>
  <c r="H73" i="28"/>
  <c r="I73" i="28" s="1"/>
  <c r="H71" i="28"/>
  <c r="H70" i="28"/>
  <c r="I70" i="28" s="1"/>
  <c r="H55" i="28"/>
  <c r="I55" i="28" s="1"/>
  <c r="H41" i="28"/>
  <c r="I41" i="28" s="1"/>
  <c r="H40" i="28"/>
  <c r="I40" i="28" s="1"/>
  <c r="H39" i="28"/>
  <c r="I39" i="28" s="1"/>
  <c r="H36" i="28"/>
  <c r="I36" i="28" s="1"/>
  <c r="I82" i="27"/>
  <c r="J82" i="27" s="1"/>
  <c r="I81" i="27"/>
  <c r="J81" i="27" s="1"/>
  <c r="I77" i="27"/>
  <c r="J77" i="27" s="1"/>
  <c r="I76" i="27"/>
  <c r="J76" i="27" s="1"/>
  <c r="I70" i="27"/>
  <c r="J70" i="27" s="1"/>
  <c r="I69" i="27"/>
  <c r="J69" i="27" s="1"/>
  <c r="I68" i="27"/>
  <c r="J68" i="27" s="1"/>
  <c r="I60" i="27"/>
  <c r="J60" i="27" s="1"/>
  <c r="I59" i="27"/>
  <c r="I57" i="27"/>
  <c r="J57" i="27" s="1"/>
  <c r="I54" i="27"/>
  <c r="J54" i="27" s="1"/>
  <c r="I53" i="27"/>
  <c r="J53" i="27" s="1"/>
  <c r="I52" i="27"/>
  <c r="J52" i="27" s="1"/>
  <c r="I48" i="27"/>
  <c r="J48" i="27" s="1"/>
  <c r="I45" i="27"/>
  <c r="J45" i="27" s="1"/>
  <c r="I42" i="27"/>
  <c r="J42" i="27" s="1"/>
  <c r="I27" i="27"/>
  <c r="J27" i="27" s="1"/>
  <c r="I25" i="27"/>
  <c r="J25" i="27" s="1"/>
  <c r="I82" i="26"/>
  <c r="J82" i="26" s="1"/>
  <c r="I74" i="26"/>
  <c r="J74" i="26" s="1"/>
  <c r="I73" i="26"/>
  <c r="J73" i="26" s="1"/>
  <c r="I69" i="26"/>
  <c r="J69" i="26" s="1"/>
  <c r="I68" i="26"/>
  <c r="J68" i="26" s="1"/>
  <c r="I67" i="26"/>
  <c r="J67" i="26" s="1"/>
  <c r="I63" i="26"/>
  <c r="J63" i="26" s="1"/>
  <c r="I60" i="26"/>
  <c r="J60" i="26" s="1"/>
  <c r="I54" i="26"/>
  <c r="J54" i="26" s="1"/>
  <c r="I49" i="26"/>
  <c r="J49" i="26" s="1"/>
  <c r="I45" i="26"/>
  <c r="J45" i="26" s="1"/>
  <c r="I44" i="26"/>
  <c r="J44" i="26" s="1"/>
  <c r="I43" i="26"/>
  <c r="J43" i="26" s="1"/>
  <c r="I42" i="26"/>
  <c r="J42" i="26" s="1"/>
  <c r="I41" i="26"/>
  <c r="J41" i="26" s="1"/>
  <c r="I40" i="26"/>
  <c r="J40" i="26" s="1"/>
  <c r="I77" i="25"/>
  <c r="J77" i="25" s="1"/>
  <c r="I71" i="25"/>
  <c r="I70" i="25"/>
  <c r="J70" i="25" s="1"/>
  <c r="I66" i="25"/>
  <c r="J66" i="25" s="1"/>
  <c r="I65" i="25"/>
  <c r="J65" i="25" s="1"/>
  <c r="I64" i="25"/>
  <c r="J64" i="25" s="1"/>
  <c r="I59" i="25"/>
  <c r="I57" i="25"/>
  <c r="J57" i="25" s="1"/>
  <c r="I56" i="25"/>
  <c r="J56" i="25" s="1"/>
  <c r="I55" i="25"/>
  <c r="J55" i="25" s="1"/>
  <c r="I40" i="25"/>
  <c r="J40" i="25" s="1"/>
  <c r="I35" i="25"/>
  <c r="I32" i="25"/>
  <c r="J32" i="25" s="1"/>
  <c r="I26" i="25"/>
  <c r="J26" i="25" s="1"/>
  <c r="I25" i="25"/>
  <c r="J25" i="25" s="1"/>
  <c r="I71" i="24"/>
  <c r="I70" i="24"/>
  <c r="J70" i="24" s="1"/>
  <c r="I64" i="24"/>
  <c r="J64" i="24" s="1"/>
  <c r="I61" i="24"/>
  <c r="J61" i="24" s="1"/>
  <c r="I60" i="24"/>
  <c r="J60" i="24" s="1"/>
  <c r="I59" i="24"/>
  <c r="I58" i="24"/>
  <c r="J58" i="24" s="1"/>
  <c r="I57" i="24"/>
  <c r="J57" i="24" s="1"/>
  <c r="I56" i="24"/>
  <c r="J56" i="24" s="1"/>
  <c r="I55" i="24"/>
  <c r="J55" i="24" s="1"/>
  <c r="I48" i="24"/>
  <c r="J48" i="24" s="1"/>
  <c r="I47" i="24"/>
  <c r="I45" i="24"/>
  <c r="J45" i="24" s="1"/>
  <c r="I44" i="24"/>
  <c r="J44" i="24" s="1"/>
  <c r="I43" i="24"/>
  <c r="J43" i="24" s="1"/>
  <c r="I82" i="23"/>
  <c r="J82" i="23" s="1"/>
  <c r="I81" i="23"/>
  <c r="J81" i="23" s="1"/>
  <c r="I80" i="23"/>
  <c r="J80" i="23" s="1"/>
  <c r="I78" i="23"/>
  <c r="J78" i="23" s="1"/>
  <c r="I77" i="23"/>
  <c r="J77" i="23" s="1"/>
  <c r="I74" i="23"/>
  <c r="J74" i="23" s="1"/>
  <c r="I73" i="23"/>
  <c r="J73" i="23" s="1"/>
  <c r="I69" i="23"/>
  <c r="J69" i="23" s="1"/>
  <c r="I68" i="23"/>
  <c r="J68" i="23" s="1"/>
  <c r="I67" i="23"/>
  <c r="J67" i="23" s="1"/>
  <c r="I63" i="23"/>
  <c r="J63" i="23" s="1"/>
  <c r="I59" i="23"/>
  <c r="I58" i="23"/>
  <c r="J58" i="23" s="1"/>
  <c r="I56" i="23"/>
  <c r="J56" i="23" s="1"/>
  <c r="I55" i="23"/>
  <c r="J55" i="23" s="1"/>
  <c r="I48" i="23"/>
  <c r="J48" i="23" s="1"/>
  <c r="I40" i="23"/>
  <c r="J40" i="23" s="1"/>
  <c r="I26" i="23"/>
  <c r="J26" i="23" s="1"/>
  <c r="I25" i="23"/>
  <c r="J25" i="23" s="1"/>
  <c r="I24" i="23"/>
  <c r="H66" i="22"/>
  <c r="I66" i="22" s="1"/>
  <c r="H50" i="22"/>
  <c r="I50" i="22" s="1"/>
  <c r="H41" i="22"/>
  <c r="I41" i="22" s="1"/>
  <c r="H38" i="22"/>
  <c r="I38" i="22" s="1"/>
  <c r="H35" i="22"/>
  <c r="H32" i="22"/>
  <c r="I32" i="22" s="1"/>
  <c r="H29" i="22"/>
  <c r="I29" i="22" s="1"/>
  <c r="I27" i="22"/>
  <c r="H26" i="22"/>
  <c r="I26" i="22" s="1"/>
  <c r="I80" i="21"/>
  <c r="J80" i="21" s="1"/>
  <c r="I79" i="21"/>
  <c r="J79" i="21" s="1"/>
  <c r="I77" i="21"/>
  <c r="J77" i="21" s="1"/>
  <c r="I70" i="21"/>
  <c r="J70" i="21" s="1"/>
  <c r="I67" i="21"/>
  <c r="J67" i="21" s="1"/>
  <c r="I57" i="21"/>
  <c r="J57" i="21" s="1"/>
  <c r="I56" i="21"/>
  <c r="J56" i="21" s="1"/>
  <c r="I47" i="21"/>
  <c r="I43" i="21"/>
  <c r="J43" i="21" s="1"/>
  <c r="I42" i="21"/>
  <c r="J42" i="21" s="1"/>
  <c r="I41" i="21"/>
  <c r="J41" i="21" s="1"/>
  <c r="I39" i="21"/>
  <c r="J39" i="21" s="1"/>
  <c r="I35" i="21"/>
  <c r="I30" i="21"/>
  <c r="J30" i="21" s="1"/>
  <c r="I76" i="20"/>
  <c r="J76" i="20" s="1"/>
  <c r="I70" i="20"/>
  <c r="J70" i="20" s="1"/>
  <c r="I67" i="20"/>
  <c r="J67" i="20" s="1"/>
  <c r="I55" i="20"/>
  <c r="J55" i="20" s="1"/>
  <c r="I51" i="20"/>
  <c r="J51" i="20" s="1"/>
  <c r="I46" i="20"/>
  <c r="J46" i="20" s="1"/>
  <c r="I40" i="20"/>
  <c r="J40" i="20" s="1"/>
  <c r="H80" i="19"/>
  <c r="I80" i="19" s="1"/>
  <c r="H72" i="19"/>
  <c r="I72" i="19" s="1"/>
  <c r="H69" i="19"/>
  <c r="I69" i="19" s="1"/>
  <c r="H55" i="19"/>
  <c r="I55" i="19" s="1"/>
  <c r="H45" i="19"/>
  <c r="I45" i="19" s="1"/>
  <c r="H43" i="19"/>
  <c r="I43" i="19" s="1"/>
  <c r="H41" i="19"/>
  <c r="I41" i="19" s="1"/>
  <c r="H38" i="19"/>
  <c r="I38" i="19" s="1"/>
  <c r="J79" i="18"/>
  <c r="K79" i="18" s="1"/>
  <c r="J75" i="18"/>
  <c r="K75" i="18" s="1"/>
  <c r="J59" i="18"/>
  <c r="J58" i="18"/>
  <c r="K58" i="18" s="1"/>
  <c r="J56" i="18"/>
  <c r="K56" i="18" s="1"/>
  <c r="J37" i="18"/>
  <c r="K37" i="18" s="1"/>
  <c r="J36" i="18"/>
  <c r="K36" i="18" s="1"/>
  <c r="J34" i="18"/>
  <c r="K34" i="18" s="1"/>
  <c r="J28" i="18"/>
  <c r="K28" i="18" s="1"/>
  <c r="H79" i="17"/>
  <c r="I79" i="17" s="1"/>
  <c r="H76" i="17"/>
  <c r="I76" i="17" s="1"/>
  <c r="H70" i="17"/>
  <c r="I70" i="17" s="1"/>
  <c r="H62" i="17"/>
  <c r="I62" i="17" s="1"/>
  <c r="H59" i="17"/>
  <c r="H58" i="17"/>
  <c r="I58" i="17" s="1"/>
  <c r="H52" i="17"/>
  <c r="I52" i="17" s="1"/>
  <c r="H51" i="17"/>
  <c r="I51" i="17" s="1"/>
  <c r="H41" i="17"/>
  <c r="I41" i="17" s="1"/>
  <c r="H40" i="17"/>
  <c r="I40" i="17" s="1"/>
  <c r="H36" i="17"/>
  <c r="I36" i="17" s="1"/>
  <c r="J82" i="16"/>
  <c r="J80" i="16"/>
  <c r="I78" i="16"/>
  <c r="I73" i="16"/>
  <c r="J70" i="16"/>
  <c r="I67" i="16"/>
  <c r="I66" i="16"/>
  <c r="J65" i="16"/>
  <c r="J63" i="16"/>
  <c r="J60" i="16"/>
  <c r="J54" i="16"/>
  <c r="I45" i="16"/>
  <c r="I42" i="16"/>
  <c r="J41" i="16"/>
  <c r="J35" i="16"/>
  <c r="I35" i="16"/>
  <c r="J34" i="16"/>
  <c r="I31" i="16"/>
  <c r="I30" i="16"/>
  <c r="I29" i="16"/>
  <c r="J27" i="16"/>
  <c r="K45" i="15"/>
  <c r="L45" i="15" s="1"/>
  <c r="K34" i="15"/>
  <c r="L34" i="15" s="1"/>
  <c r="K33" i="15"/>
  <c r="L33" i="15" s="1"/>
  <c r="K31" i="15"/>
  <c r="L31" i="15" s="1"/>
  <c r="K25" i="15"/>
  <c r="L25" i="15" s="1"/>
  <c r="K23" i="15"/>
  <c r="I77" i="14"/>
  <c r="J77" i="14" s="1"/>
  <c r="I76" i="14"/>
  <c r="J76" i="14" s="1"/>
  <c r="I51" i="14"/>
  <c r="J51" i="14" s="1"/>
  <c r="I49" i="14"/>
  <c r="J49" i="14" s="1"/>
  <c r="I46" i="14"/>
  <c r="J46" i="14" s="1"/>
  <c r="I34" i="14"/>
  <c r="J34" i="14" s="1"/>
  <c r="I30" i="14"/>
  <c r="J30" i="14" s="1"/>
  <c r="I26" i="14"/>
  <c r="J26" i="14" s="1"/>
  <c r="I66" i="13"/>
  <c r="J66" i="13" s="1"/>
  <c r="I65" i="13"/>
  <c r="J65" i="13" s="1"/>
  <c r="I58" i="13"/>
  <c r="J58" i="13" s="1"/>
  <c r="I55" i="13"/>
  <c r="J55" i="13" s="1"/>
  <c r="I49" i="13"/>
  <c r="J49" i="13" s="1"/>
  <c r="I46" i="13"/>
  <c r="J46" i="13" s="1"/>
  <c r="I45" i="13"/>
  <c r="J45" i="13" s="1"/>
  <c r="I27" i="13"/>
  <c r="J27" i="13" s="1"/>
  <c r="I26" i="13"/>
  <c r="J26" i="13" s="1"/>
  <c r="I24" i="13"/>
  <c r="J24" i="13" s="1"/>
  <c r="I80" i="12"/>
  <c r="J80" i="12" s="1"/>
  <c r="I77" i="12"/>
  <c r="J77" i="12" s="1"/>
  <c r="I64" i="12"/>
  <c r="J64" i="12" s="1"/>
  <c r="I57" i="12"/>
  <c r="J57" i="12" s="1"/>
  <c r="I43" i="12"/>
  <c r="J43" i="12" s="1"/>
  <c r="H82" i="11"/>
  <c r="H80" i="11"/>
  <c r="H79" i="11"/>
  <c r="I78" i="11"/>
  <c r="H75" i="11"/>
  <c r="I74" i="11"/>
  <c r="H73" i="11"/>
  <c r="H72" i="11"/>
  <c r="I71" i="11"/>
  <c r="H66" i="11"/>
  <c r="H64" i="11"/>
  <c r="I62" i="11"/>
  <c r="I56" i="11"/>
  <c r="I54" i="11"/>
  <c r="H53" i="11"/>
  <c r="I52" i="11"/>
  <c r="I46" i="11"/>
  <c r="H43" i="11"/>
  <c r="I38" i="11"/>
  <c r="H34" i="11"/>
  <c r="I33" i="11"/>
  <c r="I32" i="11"/>
  <c r="I27" i="11"/>
  <c r="I77" i="10"/>
  <c r="J77" i="10" s="1"/>
  <c r="I71" i="10"/>
  <c r="I69" i="10"/>
  <c r="J69" i="10" s="1"/>
  <c r="I60" i="10"/>
  <c r="J60" i="10" s="1"/>
  <c r="I44" i="10"/>
  <c r="J44" i="10" s="1"/>
  <c r="I27" i="10"/>
  <c r="J27" i="10" s="1"/>
  <c r="I72" i="9"/>
  <c r="J72" i="9" s="1"/>
  <c r="I64" i="9"/>
  <c r="J64" i="9" s="1"/>
  <c r="I56" i="9"/>
  <c r="J56" i="9" s="1"/>
  <c r="I48" i="9"/>
  <c r="J48" i="9" s="1"/>
  <c r="I47" i="9"/>
  <c r="I41" i="9"/>
  <c r="J41" i="9" s="1"/>
  <c r="I35" i="9"/>
  <c r="I77" i="8"/>
  <c r="J77" i="8" s="1"/>
  <c r="I68" i="8"/>
  <c r="J68" i="8" s="1"/>
  <c r="I66" i="8"/>
  <c r="J66" i="8" s="1"/>
  <c r="I65" i="8"/>
  <c r="J65" i="8" s="1"/>
  <c r="I45" i="8"/>
  <c r="J45" i="8" s="1"/>
  <c r="I40" i="8"/>
  <c r="J40" i="8" s="1"/>
  <c r="I26" i="8"/>
  <c r="J26" i="8" s="1"/>
  <c r="I70" i="7"/>
  <c r="J70" i="7" s="1"/>
  <c r="I62" i="7"/>
  <c r="J62" i="7" s="1"/>
  <c r="I57" i="7"/>
  <c r="J57" i="7" s="1"/>
  <c r="I49" i="7"/>
  <c r="J49" i="7" s="1"/>
  <c r="I43" i="7"/>
  <c r="J43" i="7" s="1"/>
  <c r="I42" i="7"/>
  <c r="J42" i="7" s="1"/>
  <c r="I30" i="7"/>
  <c r="J30" i="7" s="1"/>
  <c r="H41" i="6"/>
  <c r="I41" i="6" s="1"/>
  <c r="H39" i="6"/>
  <c r="I39" i="6" s="1"/>
  <c r="H36" i="6"/>
  <c r="I36" i="6" s="1"/>
  <c r="H35" i="6"/>
  <c r="H74" i="5"/>
  <c r="I74" i="5" s="1"/>
  <c r="H73" i="5"/>
  <c r="I73" i="5" s="1"/>
  <c r="H72" i="5"/>
  <c r="I72" i="5" s="1"/>
  <c r="H70" i="5"/>
  <c r="I70" i="5" s="1"/>
  <c r="H49" i="5"/>
  <c r="I49" i="5" s="1"/>
  <c r="H40" i="5"/>
  <c r="I40" i="5" s="1"/>
  <c r="H39" i="5"/>
  <c r="I39" i="5" s="1"/>
  <c r="H34" i="5"/>
  <c r="I34" i="5" s="1"/>
  <c r="H32" i="5"/>
  <c r="I32" i="5" s="1"/>
  <c r="H31" i="5"/>
  <c r="I31" i="5" s="1"/>
  <c r="I73" i="4"/>
  <c r="J73" i="4" s="1"/>
  <c r="I69" i="4"/>
  <c r="J69" i="4" s="1"/>
  <c r="I46" i="4"/>
  <c r="J46" i="4" s="1"/>
  <c r="I43" i="4"/>
  <c r="J43" i="4" s="1"/>
  <c r="I39" i="4"/>
  <c r="J39" i="4" s="1"/>
  <c r="I34" i="4"/>
  <c r="J34" i="4" s="1"/>
  <c r="I27" i="4"/>
  <c r="J27" i="4" s="1"/>
  <c r="H81" i="28"/>
  <c r="I81" i="28" s="1"/>
  <c r="H75" i="28"/>
  <c r="I75" i="28" s="1"/>
  <c r="H69" i="28"/>
  <c r="I69" i="28" s="1"/>
  <c r="H67" i="28"/>
  <c r="I67" i="28" s="1"/>
  <c r="H57" i="28"/>
  <c r="I57" i="28" s="1"/>
  <c r="H53" i="28"/>
  <c r="I53" i="28" s="1"/>
  <c r="H48" i="28"/>
  <c r="I48" i="28" s="1"/>
  <c r="H46" i="28"/>
  <c r="I46" i="28" s="1"/>
  <c r="H45" i="28"/>
  <c r="I45" i="28" s="1"/>
  <c r="H37" i="28"/>
  <c r="I37" i="28" s="1"/>
  <c r="I79" i="27"/>
  <c r="J79" i="27" s="1"/>
  <c r="I78" i="27"/>
  <c r="J78" i="27" s="1"/>
  <c r="I74" i="27"/>
  <c r="J74" i="27" s="1"/>
  <c r="I73" i="27"/>
  <c r="J73" i="27" s="1"/>
  <c r="I72" i="27"/>
  <c r="J72" i="27" s="1"/>
  <c r="I58" i="27"/>
  <c r="J58" i="27" s="1"/>
  <c r="I51" i="27"/>
  <c r="J51" i="27" s="1"/>
  <c r="I43" i="27"/>
  <c r="J43" i="27" s="1"/>
  <c r="I38" i="27"/>
  <c r="J38" i="27" s="1"/>
  <c r="I37" i="27"/>
  <c r="J37" i="27" s="1"/>
  <c r="I36" i="27"/>
  <c r="J36" i="27" s="1"/>
  <c r="I35" i="27"/>
  <c r="I34" i="27"/>
  <c r="J34" i="27" s="1"/>
  <c r="I31" i="27"/>
  <c r="J31" i="27" s="1"/>
  <c r="I26" i="27"/>
  <c r="J26" i="27" s="1"/>
  <c r="I24" i="27"/>
  <c r="J24" i="27" s="1"/>
  <c r="I23" i="27"/>
  <c r="I33" i="26"/>
  <c r="J33" i="26" s="1"/>
  <c r="I27" i="26"/>
  <c r="J27" i="26" s="1"/>
  <c r="I26" i="26"/>
  <c r="J26" i="26" s="1"/>
  <c r="I25" i="26"/>
  <c r="J25" i="26" s="1"/>
  <c r="I82" i="25"/>
  <c r="J82" i="25" s="1"/>
  <c r="I81" i="25"/>
  <c r="J81" i="25" s="1"/>
  <c r="I80" i="25"/>
  <c r="J80" i="25" s="1"/>
  <c r="I78" i="25"/>
  <c r="J78" i="25" s="1"/>
  <c r="I72" i="25"/>
  <c r="J72" i="25" s="1"/>
  <c r="I69" i="25"/>
  <c r="J69" i="25" s="1"/>
  <c r="I68" i="25"/>
  <c r="J68" i="25" s="1"/>
  <c r="I36" i="25"/>
  <c r="J36" i="25" s="1"/>
  <c r="I29" i="25"/>
  <c r="J29" i="25" s="1"/>
  <c r="I77" i="24"/>
  <c r="J77" i="24" s="1"/>
  <c r="I69" i="24"/>
  <c r="J69" i="24" s="1"/>
  <c r="I40" i="24"/>
  <c r="J40" i="24" s="1"/>
  <c r="I39" i="24"/>
  <c r="J39" i="24" s="1"/>
  <c r="I37" i="24"/>
  <c r="J37" i="24" s="1"/>
  <c r="I35" i="24"/>
  <c r="I34" i="24"/>
  <c r="J34" i="24" s="1"/>
  <c r="I33" i="24"/>
  <c r="J33" i="24" s="1"/>
  <c r="J30" i="24"/>
  <c r="I25" i="24"/>
  <c r="J25" i="24" s="1"/>
  <c r="I76" i="23"/>
  <c r="J76" i="23" s="1"/>
  <c r="I66" i="23"/>
  <c r="J66" i="23" s="1"/>
  <c r="I65" i="23"/>
  <c r="J65" i="23" s="1"/>
  <c r="I64" i="23"/>
  <c r="J64" i="23" s="1"/>
  <c r="I54" i="23"/>
  <c r="J54" i="23" s="1"/>
  <c r="I53" i="23"/>
  <c r="J53" i="23" s="1"/>
  <c r="I52" i="23"/>
  <c r="J52" i="23" s="1"/>
  <c r="I49" i="23"/>
  <c r="J49" i="23" s="1"/>
  <c r="I45" i="23"/>
  <c r="J45" i="23" s="1"/>
  <c r="I39" i="23"/>
  <c r="J39" i="23" s="1"/>
  <c r="I38" i="23"/>
  <c r="J38" i="23" s="1"/>
  <c r="I32" i="23"/>
  <c r="J32" i="23" s="1"/>
  <c r="I31" i="23"/>
  <c r="J31" i="23" s="1"/>
  <c r="I30" i="23"/>
  <c r="J30" i="23" s="1"/>
  <c r="I29" i="23"/>
  <c r="J29" i="23" s="1"/>
  <c r="H73" i="22"/>
  <c r="I73" i="22" s="1"/>
  <c r="H72" i="22"/>
  <c r="I72" i="22" s="1"/>
  <c r="H71" i="22"/>
  <c r="H65" i="22"/>
  <c r="I65" i="22" s="1"/>
  <c r="H60" i="22"/>
  <c r="I60" i="22" s="1"/>
  <c r="H55" i="22"/>
  <c r="I55" i="22" s="1"/>
  <c r="H51" i="22"/>
  <c r="I51" i="22" s="1"/>
  <c r="H49" i="22"/>
  <c r="I49" i="22" s="1"/>
  <c r="H43" i="22"/>
  <c r="I43" i="22" s="1"/>
  <c r="H39" i="22"/>
  <c r="I39" i="22" s="1"/>
  <c r="H23" i="22"/>
  <c r="I69" i="21"/>
  <c r="J69" i="21" s="1"/>
  <c r="I66" i="21"/>
  <c r="J66" i="21" s="1"/>
  <c r="I65" i="21"/>
  <c r="J65" i="21" s="1"/>
  <c r="I59" i="21"/>
  <c r="I52" i="21"/>
  <c r="J52" i="21" s="1"/>
  <c r="I48" i="21"/>
  <c r="J48" i="21" s="1"/>
  <c r="I36" i="21"/>
  <c r="J36" i="21" s="1"/>
  <c r="I31" i="21"/>
  <c r="J31" i="21" s="1"/>
  <c r="I29" i="21"/>
  <c r="J29" i="21" s="1"/>
  <c r="I28" i="21"/>
  <c r="J28" i="21" s="1"/>
  <c r="I26" i="21"/>
  <c r="J26" i="21" s="1"/>
  <c r="I24" i="21"/>
  <c r="J24" i="21" s="1"/>
  <c r="I80" i="20"/>
  <c r="J80" i="20" s="1"/>
  <c r="I77" i="20"/>
  <c r="J77" i="20" s="1"/>
  <c r="I72" i="20"/>
  <c r="J72" i="20" s="1"/>
  <c r="I71" i="20"/>
  <c r="I63" i="20"/>
  <c r="J63" i="20" s="1"/>
  <c r="I61" i="20"/>
  <c r="J61" i="20" s="1"/>
  <c r="I56" i="20"/>
  <c r="J56" i="20" s="1"/>
  <c r="I54" i="20"/>
  <c r="J54" i="20" s="1"/>
  <c r="I53" i="20"/>
  <c r="J53" i="20" s="1"/>
  <c r="I48" i="20"/>
  <c r="J48" i="20" s="1"/>
  <c r="I43" i="20"/>
  <c r="J43" i="20" s="1"/>
  <c r="I42" i="20"/>
  <c r="J42" i="20" s="1"/>
  <c r="I41" i="20"/>
  <c r="J41" i="20" s="1"/>
  <c r="I39" i="20"/>
  <c r="J39" i="20" s="1"/>
  <c r="I30" i="20"/>
  <c r="J30" i="20" s="1"/>
  <c r="I29" i="20"/>
  <c r="J29" i="20" s="1"/>
  <c r="I27" i="20"/>
  <c r="J27" i="20" s="1"/>
  <c r="H75" i="19"/>
  <c r="I75" i="19" s="1"/>
  <c r="H70" i="19"/>
  <c r="I70" i="19" s="1"/>
  <c r="H68" i="19"/>
  <c r="I68" i="19" s="1"/>
  <c r="H63" i="19"/>
  <c r="I63" i="19" s="1"/>
  <c r="H60" i="19"/>
  <c r="I60" i="19" s="1"/>
  <c r="H57" i="19"/>
  <c r="I57" i="19" s="1"/>
  <c r="H54" i="19"/>
  <c r="I54" i="19" s="1"/>
  <c r="H48" i="19"/>
  <c r="I48" i="19" s="1"/>
  <c r="H42" i="19"/>
  <c r="I42" i="19" s="1"/>
  <c r="J81" i="18"/>
  <c r="K81" i="18" s="1"/>
  <c r="J66" i="18"/>
  <c r="K66" i="18" s="1"/>
  <c r="J48" i="18"/>
  <c r="K48" i="18" s="1"/>
  <c r="J45" i="18"/>
  <c r="K45" i="18" s="1"/>
  <c r="J41" i="18"/>
  <c r="K41" i="18" s="1"/>
  <c r="J40" i="18"/>
  <c r="K40" i="18" s="1"/>
  <c r="J32" i="18"/>
  <c r="K32" i="18" s="1"/>
  <c r="J31" i="18"/>
  <c r="K31" i="18" s="1"/>
  <c r="J29" i="18"/>
  <c r="K29" i="18" s="1"/>
  <c r="J26" i="18"/>
  <c r="K26" i="18" s="1"/>
  <c r="J24" i="18"/>
  <c r="K24" i="18" s="1"/>
  <c r="H71" i="17"/>
  <c r="H61" i="17"/>
  <c r="I61" i="17" s="1"/>
  <c r="H55" i="17"/>
  <c r="I55" i="17" s="1"/>
  <c r="H54" i="17"/>
  <c r="I54" i="17" s="1"/>
  <c r="H48" i="17"/>
  <c r="I48" i="17" s="1"/>
  <c r="H43" i="17"/>
  <c r="I43" i="17" s="1"/>
  <c r="H38" i="17"/>
  <c r="I38" i="17" s="1"/>
  <c r="H37" i="17"/>
  <c r="I37" i="17" s="1"/>
  <c r="H25" i="17"/>
  <c r="I25" i="17" s="1"/>
  <c r="H23" i="17"/>
  <c r="I82" i="16"/>
  <c r="J77" i="16"/>
  <c r="J76" i="16"/>
  <c r="J73" i="16"/>
  <c r="J72" i="16"/>
  <c r="J71" i="16"/>
  <c r="J68" i="16"/>
  <c r="J67" i="16"/>
  <c r="I62" i="16"/>
  <c r="I61" i="16"/>
  <c r="I53" i="16"/>
  <c r="J52" i="16"/>
  <c r="I51" i="16"/>
  <c r="J50" i="16"/>
  <c r="J47" i="16"/>
  <c r="I43" i="16"/>
  <c r="I41" i="16"/>
  <c r="J40" i="16"/>
  <c r="I37" i="16"/>
  <c r="I34" i="16"/>
  <c r="I32" i="16"/>
  <c r="I28" i="16"/>
  <c r="I25" i="16"/>
  <c r="K77" i="15"/>
  <c r="L77" i="15" s="1"/>
  <c r="K76" i="15"/>
  <c r="L76" i="15" s="1"/>
  <c r="K68" i="15"/>
  <c r="L68" i="15" s="1"/>
  <c r="K67" i="15"/>
  <c r="L67" i="15" s="1"/>
  <c r="K63" i="15"/>
  <c r="L63" i="15" s="1"/>
  <c r="K53" i="15"/>
  <c r="L53" i="15" s="1"/>
  <c r="K51" i="15"/>
  <c r="L51" i="15" s="1"/>
  <c r="K46" i="15"/>
  <c r="L46" i="15" s="1"/>
  <c r="K42" i="15"/>
  <c r="L42" i="15" s="1"/>
  <c r="K37" i="15"/>
  <c r="L37" i="15" s="1"/>
  <c r="I82" i="14"/>
  <c r="J82" i="14" s="1"/>
  <c r="I80" i="14"/>
  <c r="J80" i="14" s="1"/>
  <c r="I79" i="14"/>
  <c r="J79" i="14" s="1"/>
  <c r="I75" i="14"/>
  <c r="J75" i="14" s="1"/>
  <c r="I74" i="14"/>
  <c r="J74" i="14" s="1"/>
  <c r="I69" i="14"/>
  <c r="J69" i="14" s="1"/>
  <c r="I56" i="14"/>
  <c r="J56" i="14" s="1"/>
  <c r="I53" i="14"/>
  <c r="J53" i="14" s="1"/>
  <c r="I47" i="14"/>
  <c r="I39" i="14"/>
  <c r="J39" i="14" s="1"/>
  <c r="I29" i="14"/>
  <c r="J29" i="14" s="1"/>
  <c r="I28" i="14"/>
  <c r="J28" i="14" s="1"/>
  <c r="I23" i="14"/>
  <c r="I82" i="13"/>
  <c r="J82" i="13" s="1"/>
  <c r="I79" i="13"/>
  <c r="J79" i="13" s="1"/>
  <c r="I77" i="13"/>
  <c r="J77" i="13" s="1"/>
  <c r="I67" i="13"/>
  <c r="J67" i="13" s="1"/>
  <c r="I23" i="13"/>
  <c r="I72" i="12"/>
  <c r="J72" i="12" s="1"/>
  <c r="I65" i="12"/>
  <c r="J65" i="12" s="1"/>
  <c r="I56" i="12"/>
  <c r="J56" i="12" s="1"/>
  <c r="I52" i="12"/>
  <c r="J52" i="12" s="1"/>
  <c r="I45" i="12"/>
  <c r="J45" i="12" s="1"/>
  <c r="I37" i="12"/>
  <c r="J37" i="12" s="1"/>
  <c r="I35" i="12"/>
  <c r="I34" i="12"/>
  <c r="J34" i="12" s="1"/>
  <c r="I32" i="12"/>
  <c r="J32" i="12" s="1"/>
  <c r="I79" i="11"/>
  <c r="H78" i="11"/>
  <c r="I77" i="11"/>
  <c r="I76" i="11"/>
  <c r="H67" i="11"/>
  <c r="I60" i="11"/>
  <c r="I51" i="11"/>
  <c r="I50" i="11"/>
  <c r="I48" i="11"/>
  <c r="H40" i="11"/>
  <c r="H36" i="11"/>
  <c r="H29" i="11"/>
  <c r="H27" i="11"/>
  <c r="H26" i="11"/>
  <c r="I61" i="10"/>
  <c r="J61" i="10" s="1"/>
  <c r="I56" i="10"/>
  <c r="J56" i="10" s="1"/>
  <c r="I52" i="10"/>
  <c r="J52" i="10" s="1"/>
  <c r="I48" i="10"/>
  <c r="J48" i="10" s="1"/>
  <c r="I47" i="10"/>
  <c r="I45" i="10"/>
  <c r="J45" i="10" s="1"/>
  <c r="I43" i="10"/>
  <c r="J43" i="10" s="1"/>
  <c r="I42" i="10"/>
  <c r="J42" i="10" s="1"/>
  <c r="I31" i="10"/>
  <c r="J31" i="10" s="1"/>
  <c r="I82" i="9"/>
  <c r="J82" i="9" s="1"/>
  <c r="I74" i="9"/>
  <c r="J74" i="9" s="1"/>
  <c r="I69" i="9"/>
  <c r="J69" i="9" s="1"/>
  <c r="I60" i="9"/>
  <c r="J60" i="9" s="1"/>
  <c r="I58" i="9"/>
  <c r="J58" i="9" s="1"/>
  <c r="I50" i="9"/>
  <c r="J50" i="9" s="1"/>
  <c r="I46" i="9"/>
  <c r="J46" i="9" s="1"/>
  <c r="I37" i="9"/>
  <c r="J37" i="9" s="1"/>
  <c r="I30" i="9"/>
  <c r="J30" i="9" s="1"/>
  <c r="I23" i="9"/>
  <c r="I73" i="8"/>
  <c r="J73" i="8" s="1"/>
  <c r="I72" i="8"/>
  <c r="J72" i="8" s="1"/>
  <c r="I70" i="8"/>
  <c r="J70" i="8" s="1"/>
  <c r="I67" i="8"/>
  <c r="J67" i="8" s="1"/>
  <c r="I64" i="8"/>
  <c r="J64" i="8" s="1"/>
  <c r="I62" i="8"/>
  <c r="J62" i="8" s="1"/>
  <c r="I61" i="8"/>
  <c r="J61" i="8" s="1"/>
  <c r="I51" i="8"/>
  <c r="J51" i="8" s="1"/>
  <c r="I50" i="8"/>
  <c r="J50" i="8" s="1"/>
  <c r="I44" i="8"/>
  <c r="J44" i="8" s="1"/>
  <c r="I43" i="8"/>
  <c r="J43" i="8" s="1"/>
  <c r="I33" i="8"/>
  <c r="J33" i="8" s="1"/>
  <c r="I75" i="7"/>
  <c r="J75" i="7" s="1"/>
  <c r="I74" i="7"/>
  <c r="J74" i="7" s="1"/>
  <c r="I54" i="7"/>
  <c r="J54" i="7" s="1"/>
  <c r="I51" i="7"/>
  <c r="J51" i="7" s="1"/>
  <c r="I34" i="7"/>
  <c r="J34" i="7" s="1"/>
  <c r="I32" i="7"/>
  <c r="J32" i="7" s="1"/>
  <c r="H72" i="6"/>
  <c r="I72" i="6" s="1"/>
  <c r="H68" i="6"/>
  <c r="I68" i="6" s="1"/>
  <c r="H37" i="6"/>
  <c r="I37" i="6" s="1"/>
  <c r="H27" i="6"/>
  <c r="I27" i="6" s="1"/>
  <c r="H81" i="5"/>
  <c r="I81" i="5" s="1"/>
  <c r="H80" i="5"/>
  <c r="I80" i="5" s="1"/>
  <c r="H76" i="5"/>
  <c r="I76" i="5" s="1"/>
  <c r="H68" i="5"/>
  <c r="I68" i="5" s="1"/>
  <c r="H64" i="5"/>
  <c r="I64" i="5" s="1"/>
  <c r="H51" i="5"/>
  <c r="I51" i="5" s="1"/>
  <c r="H44" i="5"/>
  <c r="I44" i="5" s="1"/>
  <c r="H42" i="5"/>
  <c r="I42" i="5" s="1"/>
  <c r="H37" i="5"/>
  <c r="I37" i="5" s="1"/>
  <c r="H36" i="5"/>
  <c r="I36" i="5" s="1"/>
  <c r="I80" i="4"/>
  <c r="J80" i="4" s="1"/>
  <c r="I77" i="4"/>
  <c r="J77" i="4" s="1"/>
  <c r="I76" i="4"/>
  <c r="J76" i="4" s="1"/>
  <c r="I75" i="4"/>
  <c r="J75" i="4" s="1"/>
  <c r="I72" i="4"/>
  <c r="J72" i="4" s="1"/>
  <c r="I70" i="4"/>
  <c r="J70" i="4" s="1"/>
  <c r="I65" i="4"/>
  <c r="J65" i="4" s="1"/>
  <c r="I63" i="4"/>
  <c r="J63" i="4" s="1"/>
  <c r="I62" i="4"/>
  <c r="J62" i="4" s="1"/>
  <c r="I59" i="4"/>
  <c r="I58" i="4"/>
  <c r="J58" i="4" s="1"/>
  <c r="I57" i="4"/>
  <c r="J57" i="4" s="1"/>
  <c r="I56" i="4"/>
  <c r="J56" i="4" s="1"/>
  <c r="I53" i="4"/>
  <c r="J53" i="4" s="1"/>
  <c r="I50" i="4"/>
  <c r="J50" i="4" s="1"/>
  <c r="I44" i="4"/>
  <c r="J44" i="4" s="1"/>
  <c r="I38" i="4"/>
  <c r="J38" i="4" s="1"/>
  <c r="I36" i="4"/>
  <c r="J36" i="4" s="1"/>
  <c r="I33" i="4"/>
  <c r="J33" i="4" s="1"/>
  <c r="I31" i="4"/>
  <c r="J31" i="4" s="1"/>
  <c r="I30" i="4"/>
  <c r="J30" i="4" s="1"/>
  <c r="I28" i="4"/>
  <c r="J28" i="4" s="1"/>
  <c r="I23" i="4"/>
  <c r="H80" i="28"/>
  <c r="I80" i="28" s="1"/>
  <c r="H79" i="28"/>
  <c r="I79" i="28" s="1"/>
  <c r="H68" i="28"/>
  <c r="I68" i="28" s="1"/>
  <c r="H66" i="28"/>
  <c r="I66" i="28" s="1"/>
  <c r="H65" i="28"/>
  <c r="I65" i="28" s="1"/>
  <c r="H50" i="28"/>
  <c r="I50" i="28" s="1"/>
  <c r="H44" i="28"/>
  <c r="I44" i="28" s="1"/>
  <c r="H43" i="28"/>
  <c r="I43" i="28" s="1"/>
  <c r="H42" i="28"/>
  <c r="I42" i="28" s="1"/>
  <c r="H34" i="28"/>
  <c r="I34" i="28" s="1"/>
  <c r="H29" i="28"/>
  <c r="I29" i="28" s="1"/>
  <c r="H28" i="28"/>
  <c r="I28" i="28" s="1"/>
  <c r="H26" i="28"/>
  <c r="I26" i="28" s="1"/>
  <c r="H25" i="28"/>
  <c r="I25" i="28" s="1"/>
  <c r="I80" i="27"/>
  <c r="J80" i="27" s="1"/>
  <c r="I71" i="27"/>
  <c r="I61" i="27"/>
  <c r="J61" i="27" s="1"/>
  <c r="I56" i="27"/>
  <c r="J56" i="27" s="1"/>
  <c r="I55" i="27"/>
  <c r="J55" i="27" s="1"/>
  <c r="I50" i="27"/>
  <c r="J50" i="27" s="1"/>
  <c r="I49" i="27"/>
  <c r="J49" i="27" s="1"/>
  <c r="I44" i="27"/>
  <c r="J44" i="27" s="1"/>
  <c r="I41" i="27"/>
  <c r="J41" i="27" s="1"/>
  <c r="I40" i="27"/>
  <c r="J40" i="27" s="1"/>
  <c r="I28" i="27"/>
  <c r="J28" i="27" s="1"/>
  <c r="I76" i="26"/>
  <c r="J76" i="26" s="1"/>
  <c r="I72" i="26"/>
  <c r="J72" i="26" s="1"/>
  <c r="I65" i="26"/>
  <c r="J65" i="26" s="1"/>
  <c r="I64" i="26"/>
  <c r="J64" i="26" s="1"/>
  <c r="I55" i="26"/>
  <c r="J55" i="26" s="1"/>
  <c r="I34" i="26"/>
  <c r="J34" i="26" s="1"/>
  <c r="I32" i="26"/>
  <c r="J32" i="26" s="1"/>
  <c r="I31" i="26"/>
  <c r="J31" i="26" s="1"/>
  <c r="I30" i="26"/>
  <c r="J30" i="26" s="1"/>
  <c r="I29" i="26"/>
  <c r="J29" i="26" s="1"/>
  <c r="I28" i="26"/>
  <c r="J28" i="26" s="1"/>
  <c r="I23" i="26"/>
  <c r="I79" i="25"/>
  <c r="J79" i="25" s="1"/>
  <c r="I76" i="25"/>
  <c r="J76" i="25" s="1"/>
  <c r="I75" i="25"/>
  <c r="J75" i="25" s="1"/>
  <c r="I74" i="25"/>
  <c r="J74" i="25" s="1"/>
  <c r="I54" i="25"/>
  <c r="J54" i="25" s="1"/>
  <c r="I48" i="25"/>
  <c r="J48" i="25" s="1"/>
  <c r="I47" i="25"/>
  <c r="I37" i="25"/>
  <c r="J37" i="25" s="1"/>
  <c r="I34" i="25"/>
  <c r="J34" i="25" s="1"/>
  <c r="I33" i="25"/>
  <c r="J33" i="25" s="1"/>
  <c r="I24" i="25"/>
  <c r="J24" i="25" s="1"/>
  <c r="I23" i="25"/>
  <c r="I54" i="24"/>
  <c r="J54" i="24" s="1"/>
  <c r="I49" i="24"/>
  <c r="J49" i="24" s="1"/>
  <c r="I38" i="24"/>
  <c r="J38" i="24" s="1"/>
  <c r="I32" i="24"/>
  <c r="J32" i="24" s="1"/>
  <c r="I31" i="24"/>
  <c r="J31" i="24" s="1"/>
  <c r="I75" i="23"/>
  <c r="J75" i="23" s="1"/>
  <c r="I72" i="23"/>
  <c r="J72" i="23" s="1"/>
  <c r="I71" i="23"/>
  <c r="I70" i="23"/>
  <c r="J70" i="23" s="1"/>
  <c r="I60" i="23"/>
  <c r="J60" i="23" s="1"/>
  <c r="I57" i="23"/>
  <c r="J57" i="23" s="1"/>
  <c r="I47" i="23"/>
  <c r="I46" i="23"/>
  <c r="J46" i="23" s="1"/>
  <c r="J33" i="23"/>
  <c r="H81" i="22"/>
  <c r="I81" i="22" s="1"/>
  <c r="H77" i="22"/>
  <c r="I77" i="22" s="1"/>
  <c r="H76" i="22"/>
  <c r="I76" i="22" s="1"/>
  <c r="H74" i="22"/>
  <c r="I74" i="22" s="1"/>
  <c r="H67" i="22"/>
  <c r="I67" i="22" s="1"/>
  <c r="H63" i="22"/>
  <c r="I63" i="22" s="1"/>
  <c r="H62" i="22"/>
  <c r="I62" i="22" s="1"/>
  <c r="H61" i="22"/>
  <c r="I61" i="22" s="1"/>
  <c r="H58" i="22"/>
  <c r="I58" i="22" s="1"/>
  <c r="H57" i="22"/>
  <c r="I57" i="22" s="1"/>
  <c r="H56" i="22"/>
  <c r="I56" i="22" s="1"/>
  <c r="H52" i="22"/>
  <c r="I52" i="22" s="1"/>
  <c r="H48" i="22"/>
  <c r="I48" i="22" s="1"/>
  <c r="H45" i="22"/>
  <c r="I45" i="22" s="1"/>
  <c r="H42" i="22"/>
  <c r="I42" i="22" s="1"/>
  <c r="H40" i="22"/>
  <c r="I40" i="22" s="1"/>
  <c r="H36" i="22"/>
  <c r="I36" i="22" s="1"/>
  <c r="H34" i="22"/>
  <c r="I34" i="22" s="1"/>
  <c r="H30" i="22"/>
  <c r="I30" i="22" s="1"/>
  <c r="H28" i="22"/>
  <c r="I28" i="22" s="1"/>
  <c r="I76" i="21"/>
  <c r="J76" i="21" s="1"/>
  <c r="I75" i="21"/>
  <c r="J75" i="21" s="1"/>
  <c r="I73" i="21"/>
  <c r="J73" i="21" s="1"/>
  <c r="I64" i="21"/>
  <c r="J64" i="21" s="1"/>
  <c r="I61" i="21"/>
  <c r="J61" i="21" s="1"/>
  <c r="I55" i="21"/>
  <c r="J55" i="21" s="1"/>
  <c r="I33" i="21"/>
  <c r="J33" i="21" s="1"/>
  <c r="I78" i="20"/>
  <c r="J78" i="20" s="1"/>
  <c r="I73" i="20"/>
  <c r="J73" i="20" s="1"/>
  <c r="I47" i="20"/>
  <c r="I38" i="20"/>
  <c r="J38" i="20" s="1"/>
  <c r="I35" i="20"/>
  <c r="I34" i="20"/>
  <c r="J34" i="20" s="1"/>
  <c r="I32" i="20"/>
  <c r="J32" i="20" s="1"/>
  <c r="I25" i="20"/>
  <c r="J25" i="20" s="1"/>
  <c r="H81" i="19"/>
  <c r="I81" i="19" s="1"/>
  <c r="H67" i="19"/>
  <c r="I67" i="19" s="1"/>
  <c r="H61" i="19"/>
  <c r="I61" i="19" s="1"/>
  <c r="H58" i="19"/>
  <c r="I58" i="19" s="1"/>
  <c r="H53" i="19"/>
  <c r="I53" i="19" s="1"/>
  <c r="H50" i="19"/>
  <c r="I50" i="19" s="1"/>
  <c r="H49" i="19"/>
  <c r="I49" i="19" s="1"/>
  <c r="H36" i="19"/>
  <c r="I36" i="19" s="1"/>
  <c r="H34" i="19"/>
  <c r="I34" i="19" s="1"/>
  <c r="H33" i="19"/>
  <c r="I33" i="19" s="1"/>
  <c r="H27" i="19"/>
  <c r="I27" i="19" s="1"/>
  <c r="H26" i="19"/>
  <c r="I26" i="19" s="1"/>
  <c r="J82" i="18"/>
  <c r="K82" i="18" s="1"/>
  <c r="J69" i="18"/>
  <c r="K69" i="18" s="1"/>
  <c r="J68" i="18"/>
  <c r="K68" i="18" s="1"/>
  <c r="J64" i="18"/>
  <c r="K64" i="18" s="1"/>
  <c r="J63" i="18"/>
  <c r="K63" i="18" s="1"/>
  <c r="J62" i="18"/>
  <c r="K62" i="18" s="1"/>
  <c r="J61" i="18"/>
  <c r="K61" i="18" s="1"/>
  <c r="J52" i="18"/>
  <c r="K52" i="18" s="1"/>
  <c r="J51" i="18"/>
  <c r="K51" i="18" s="1"/>
  <c r="J39" i="18"/>
  <c r="K39" i="18" s="1"/>
  <c r="J38" i="18"/>
  <c r="K38" i="18" s="1"/>
  <c r="J30" i="18"/>
  <c r="K30" i="18" s="1"/>
  <c r="H78" i="17"/>
  <c r="I78" i="17" s="1"/>
  <c r="H77" i="17"/>
  <c r="I77" i="17" s="1"/>
  <c r="H66" i="17"/>
  <c r="I66" i="17" s="1"/>
  <c r="H56" i="17"/>
  <c r="I56" i="17" s="1"/>
  <c r="H53" i="17"/>
  <c r="I53" i="17" s="1"/>
  <c r="H44" i="17"/>
  <c r="I44" i="17" s="1"/>
  <c r="H34" i="17"/>
  <c r="I34" i="17" s="1"/>
  <c r="H33" i="17"/>
  <c r="I33" i="17" s="1"/>
  <c r="H32" i="17"/>
  <c r="I32" i="17" s="1"/>
  <c r="H27" i="17"/>
  <c r="I27" i="17" s="1"/>
  <c r="H26" i="17"/>
  <c r="I26" i="17" s="1"/>
  <c r="I75" i="16"/>
  <c r="J74" i="16"/>
  <c r="I72" i="16"/>
  <c r="I71" i="16"/>
  <c r="CA20" i="2" s="1"/>
  <c r="I70" i="16"/>
  <c r="I69" i="16"/>
  <c r="I65" i="16"/>
  <c r="J64" i="16"/>
  <c r="J61" i="16"/>
  <c r="J58" i="16"/>
  <c r="J56" i="16"/>
  <c r="J55" i="16"/>
  <c r="I50" i="16"/>
  <c r="J48" i="16"/>
  <c r="I47" i="16"/>
  <c r="BY20" i="2" s="1"/>
  <c r="I39" i="16"/>
  <c r="J38" i="16"/>
  <c r="J33" i="16"/>
  <c r="J32" i="16"/>
  <c r="J30" i="16"/>
  <c r="J25" i="16"/>
  <c r="I24" i="16"/>
  <c r="I23" i="16"/>
  <c r="BW20" i="2" s="1"/>
  <c r="K81" i="15"/>
  <c r="L81" i="15" s="1"/>
  <c r="K70" i="15"/>
  <c r="L70" i="15" s="1"/>
  <c r="K69" i="15"/>
  <c r="L69" i="15" s="1"/>
  <c r="K64" i="15"/>
  <c r="L64" i="15" s="1"/>
  <c r="K58" i="15"/>
  <c r="L58" i="15" s="1"/>
  <c r="K55" i="15"/>
  <c r="L55" i="15" s="1"/>
  <c r="K50" i="15"/>
  <c r="L50" i="15" s="1"/>
  <c r="K48" i="15"/>
  <c r="L48" i="15" s="1"/>
  <c r="K35" i="15"/>
  <c r="K32" i="15"/>
  <c r="L32" i="15" s="1"/>
  <c r="K29" i="15"/>
  <c r="L29" i="15" s="1"/>
  <c r="K28" i="15"/>
  <c r="L28" i="15" s="1"/>
  <c r="I61" i="14"/>
  <c r="J61" i="14" s="1"/>
  <c r="I48" i="14"/>
  <c r="J48" i="14" s="1"/>
  <c r="I44" i="14"/>
  <c r="J44" i="14" s="1"/>
  <c r="I42" i="14"/>
  <c r="J42" i="14" s="1"/>
  <c r="I41" i="14"/>
  <c r="J41" i="14" s="1"/>
  <c r="I27" i="14"/>
  <c r="J27" i="14" s="1"/>
  <c r="I25" i="14"/>
  <c r="J25" i="14" s="1"/>
  <c r="I73" i="13"/>
  <c r="J73" i="13" s="1"/>
  <c r="I72" i="13"/>
  <c r="J72" i="13" s="1"/>
  <c r="I60" i="13"/>
  <c r="J60" i="13" s="1"/>
  <c r="I57" i="13"/>
  <c r="J57" i="13" s="1"/>
  <c r="I56" i="13"/>
  <c r="J56" i="13" s="1"/>
  <c r="I53" i="13"/>
  <c r="J53" i="13" s="1"/>
  <c r="I41" i="13"/>
  <c r="J41" i="13" s="1"/>
  <c r="I39" i="13"/>
  <c r="J39" i="13" s="1"/>
  <c r="I34" i="13"/>
  <c r="J34" i="13" s="1"/>
  <c r="I32" i="13"/>
  <c r="J32" i="13" s="1"/>
  <c r="I31" i="13"/>
  <c r="J31" i="13" s="1"/>
  <c r="I82" i="12"/>
  <c r="J82" i="12" s="1"/>
  <c r="I76" i="12"/>
  <c r="J76" i="12" s="1"/>
  <c r="I75" i="12"/>
  <c r="J75" i="12" s="1"/>
  <c r="I74" i="12"/>
  <c r="J74" i="12" s="1"/>
  <c r="I73" i="12"/>
  <c r="J73" i="12" s="1"/>
  <c r="I71" i="12"/>
  <c r="I66" i="12"/>
  <c r="J66" i="12" s="1"/>
  <c r="I63" i="12"/>
  <c r="J63" i="12" s="1"/>
  <c r="I47" i="12"/>
  <c r="I46" i="12"/>
  <c r="J46" i="12" s="1"/>
  <c r="I42" i="12"/>
  <c r="J42" i="12" s="1"/>
  <c r="I33" i="12"/>
  <c r="J33" i="12" s="1"/>
  <c r="I26" i="12"/>
  <c r="J26" i="12" s="1"/>
  <c r="I82" i="11"/>
  <c r="H81" i="11"/>
  <c r="I69" i="11"/>
  <c r="H68" i="11"/>
  <c r="H63" i="11"/>
  <c r="I58" i="11"/>
  <c r="H54" i="11"/>
  <c r="H47" i="11"/>
  <c r="H46" i="11"/>
  <c r="I45" i="11"/>
  <c r="I42" i="11"/>
  <c r="H30" i="11"/>
  <c r="I29" i="11"/>
  <c r="I26" i="11"/>
  <c r="I78" i="10"/>
  <c r="J78" i="10" s="1"/>
  <c r="I75" i="10"/>
  <c r="J75" i="10" s="1"/>
  <c r="I68" i="10"/>
  <c r="J68" i="10" s="1"/>
  <c r="I67" i="10"/>
  <c r="J67" i="10" s="1"/>
  <c r="I64" i="10"/>
  <c r="J64" i="10" s="1"/>
  <c r="I41" i="10"/>
  <c r="J41" i="10" s="1"/>
  <c r="I34" i="10"/>
  <c r="J34" i="10" s="1"/>
  <c r="I33" i="10"/>
  <c r="J33" i="10" s="1"/>
  <c r="I29" i="10"/>
  <c r="J29" i="10" s="1"/>
  <c r="I77" i="9"/>
  <c r="J77" i="9" s="1"/>
  <c r="I66" i="9"/>
  <c r="J66" i="9" s="1"/>
  <c r="I59" i="9"/>
  <c r="J55" i="9"/>
  <c r="I54" i="9"/>
  <c r="J54" i="9" s="1"/>
  <c r="I53" i="9"/>
  <c r="J53" i="9" s="1"/>
  <c r="I52" i="9"/>
  <c r="J52" i="9" s="1"/>
  <c r="I79" i="8"/>
  <c r="J79" i="8" s="1"/>
  <c r="I58" i="8"/>
  <c r="J58" i="8" s="1"/>
  <c r="I53" i="8"/>
  <c r="J53" i="8" s="1"/>
  <c r="I47" i="8"/>
  <c r="I39" i="8"/>
  <c r="J39" i="8" s="1"/>
  <c r="I38" i="8"/>
  <c r="J38" i="8" s="1"/>
  <c r="I37" i="8"/>
  <c r="J37" i="8" s="1"/>
  <c r="I28" i="8"/>
  <c r="J28" i="8" s="1"/>
  <c r="I27" i="8"/>
  <c r="J27" i="8" s="1"/>
  <c r="I23" i="8"/>
  <c r="I82" i="7"/>
  <c r="J82" i="7" s="1"/>
  <c r="I78" i="7"/>
  <c r="J78" i="7" s="1"/>
  <c r="I77" i="7"/>
  <c r="J77" i="7" s="1"/>
  <c r="I76" i="7"/>
  <c r="J76" i="7" s="1"/>
  <c r="I68" i="7"/>
  <c r="J68" i="7" s="1"/>
  <c r="I67" i="7"/>
  <c r="J67" i="7" s="1"/>
  <c r="I63" i="7"/>
  <c r="J63" i="7" s="1"/>
  <c r="I58" i="7"/>
  <c r="J58" i="7" s="1"/>
  <c r="I40" i="7"/>
  <c r="J40" i="7" s="1"/>
  <c r="I35" i="7"/>
  <c r="I33" i="7"/>
  <c r="J33" i="7" s="1"/>
  <c r="I29" i="7"/>
  <c r="J29" i="7" s="1"/>
  <c r="I28" i="7"/>
  <c r="J28" i="7" s="1"/>
  <c r="I26" i="7"/>
  <c r="J26" i="7" s="1"/>
  <c r="H82" i="6"/>
  <c r="I82" i="6" s="1"/>
  <c r="H80" i="6"/>
  <c r="I80" i="6" s="1"/>
  <c r="H79" i="6"/>
  <c r="I79" i="6" s="1"/>
  <c r="H75" i="6"/>
  <c r="I75" i="6" s="1"/>
  <c r="H74" i="6"/>
  <c r="I74" i="6" s="1"/>
  <c r="H69" i="6"/>
  <c r="I69" i="6" s="1"/>
  <c r="H65" i="6"/>
  <c r="I65" i="6" s="1"/>
  <c r="H56" i="6"/>
  <c r="I56" i="6" s="1"/>
  <c r="H55" i="6"/>
  <c r="I55" i="6" s="1"/>
  <c r="H47" i="6"/>
  <c r="H44" i="6"/>
  <c r="I44" i="6" s="1"/>
  <c r="H43" i="6"/>
  <c r="I43" i="6" s="1"/>
  <c r="H34" i="6"/>
  <c r="I34" i="6" s="1"/>
  <c r="H29" i="6"/>
  <c r="I29" i="6" s="1"/>
  <c r="H79" i="5"/>
  <c r="I79" i="5" s="1"/>
  <c r="H78" i="5"/>
  <c r="I78" i="5" s="1"/>
  <c r="H62" i="5"/>
  <c r="I62" i="5" s="1"/>
  <c r="H55" i="5"/>
  <c r="I55" i="5" s="1"/>
  <c r="H41" i="5"/>
  <c r="I41" i="5" s="1"/>
  <c r="H33" i="5"/>
  <c r="I33" i="5" s="1"/>
  <c r="I82" i="4"/>
  <c r="J82" i="4" s="1"/>
  <c r="I78" i="4"/>
  <c r="J78" i="4" s="1"/>
  <c r="I55" i="4"/>
  <c r="J55" i="4" s="1"/>
  <c r="I41" i="4"/>
  <c r="J41" i="4" s="1"/>
  <c r="I37" i="4"/>
  <c r="J37" i="4" s="1"/>
  <c r="I63" i="14"/>
  <c r="J63" i="14" s="1"/>
  <c r="I60" i="14"/>
  <c r="J60" i="14" s="1"/>
  <c r="I40" i="14"/>
  <c r="J40" i="14" s="1"/>
  <c r="I33" i="14"/>
  <c r="J33" i="14" s="1"/>
  <c r="I32" i="14"/>
  <c r="J32" i="14" s="1"/>
  <c r="I31" i="14"/>
  <c r="J31" i="14" s="1"/>
  <c r="I81" i="13"/>
  <c r="J81" i="13" s="1"/>
  <c r="I80" i="13"/>
  <c r="J80" i="13" s="1"/>
  <c r="I75" i="13"/>
  <c r="J75" i="13" s="1"/>
  <c r="I68" i="13"/>
  <c r="J68" i="13" s="1"/>
  <c r="I59" i="13"/>
  <c r="I44" i="13"/>
  <c r="J44" i="13" s="1"/>
  <c r="I42" i="13"/>
  <c r="J42" i="13" s="1"/>
  <c r="I40" i="13"/>
  <c r="J40" i="13" s="1"/>
  <c r="I33" i="13"/>
  <c r="J33" i="13" s="1"/>
  <c r="I29" i="13"/>
  <c r="J29" i="13" s="1"/>
  <c r="I51" i="12"/>
  <c r="J51" i="12" s="1"/>
  <c r="I49" i="12"/>
  <c r="J49" i="12" s="1"/>
  <c r="I48" i="12"/>
  <c r="J48" i="12" s="1"/>
  <c r="I40" i="12"/>
  <c r="J40" i="12" s="1"/>
  <c r="I38" i="12"/>
  <c r="J38" i="12" s="1"/>
  <c r="H77" i="11"/>
  <c r="I75" i="11"/>
  <c r="I68" i="11"/>
  <c r="I64" i="11"/>
  <c r="H61" i="11"/>
  <c r="H59" i="11"/>
  <c r="BZ15" i="2" s="1"/>
  <c r="I57" i="11"/>
  <c r="H56" i="11"/>
  <c r="I55" i="11"/>
  <c r="I43" i="11"/>
  <c r="I37" i="11"/>
  <c r="H37" i="11"/>
  <c r="I36" i="11"/>
  <c r="I35" i="11"/>
  <c r="H32" i="11"/>
  <c r="I31" i="11"/>
  <c r="I79" i="10"/>
  <c r="J79" i="10" s="1"/>
  <c r="I76" i="10"/>
  <c r="J76" i="10" s="1"/>
  <c r="I74" i="10"/>
  <c r="J74" i="10" s="1"/>
  <c r="I51" i="10"/>
  <c r="J51" i="10" s="1"/>
  <c r="I46" i="10"/>
  <c r="J46" i="10" s="1"/>
  <c r="I37" i="10"/>
  <c r="J37" i="10" s="1"/>
  <c r="I36" i="10"/>
  <c r="J36" i="10" s="1"/>
  <c r="I30" i="10"/>
  <c r="J30" i="10" s="1"/>
  <c r="I26" i="10"/>
  <c r="J26" i="10" s="1"/>
  <c r="I24" i="10"/>
  <c r="J24" i="10" s="1"/>
  <c r="I76" i="9"/>
  <c r="J76" i="9" s="1"/>
  <c r="I73" i="9"/>
  <c r="J73" i="9" s="1"/>
  <c r="I63" i="9"/>
  <c r="J63" i="9" s="1"/>
  <c r="I61" i="9"/>
  <c r="J61" i="9" s="1"/>
  <c r="I57" i="9"/>
  <c r="J57" i="9" s="1"/>
  <c r="I36" i="9"/>
  <c r="J36" i="9" s="1"/>
  <c r="I33" i="9"/>
  <c r="J33" i="9" s="1"/>
  <c r="I29" i="9"/>
  <c r="J29" i="9" s="1"/>
  <c r="I28" i="9"/>
  <c r="J28" i="9" s="1"/>
  <c r="I27" i="9"/>
  <c r="J27" i="9" s="1"/>
  <c r="I26" i="9"/>
  <c r="J26" i="9" s="1"/>
  <c r="I81" i="8"/>
  <c r="J81" i="8" s="1"/>
  <c r="I80" i="8"/>
  <c r="J80" i="8" s="1"/>
  <c r="I71" i="8"/>
  <c r="I60" i="8"/>
  <c r="J60" i="8" s="1"/>
  <c r="I54" i="8"/>
  <c r="J54" i="8" s="1"/>
  <c r="I52" i="8"/>
  <c r="J52" i="8" s="1"/>
  <c r="I48" i="8"/>
  <c r="J48" i="8" s="1"/>
  <c r="I36" i="8"/>
  <c r="J36" i="8" s="1"/>
  <c r="I30" i="8"/>
  <c r="J30" i="8" s="1"/>
  <c r="I25" i="8"/>
  <c r="J25" i="8" s="1"/>
  <c r="I81" i="7"/>
  <c r="J81" i="7" s="1"/>
  <c r="I73" i="7"/>
  <c r="J73" i="7" s="1"/>
  <c r="I69" i="7"/>
  <c r="J69" i="7" s="1"/>
  <c r="I65" i="7"/>
  <c r="J65" i="7" s="1"/>
  <c r="I56" i="7"/>
  <c r="J56" i="7" s="1"/>
  <c r="I55" i="7"/>
  <c r="J55" i="7" s="1"/>
  <c r="I39" i="7"/>
  <c r="J39" i="7" s="1"/>
  <c r="I36" i="7"/>
  <c r="J36" i="7" s="1"/>
  <c r="I24" i="7"/>
  <c r="J24" i="7" s="1"/>
  <c r="I23" i="7"/>
  <c r="H62" i="6"/>
  <c r="I62" i="6" s="1"/>
  <c r="H59" i="6"/>
  <c r="H58" i="6"/>
  <c r="I58" i="6" s="1"/>
  <c r="H49" i="6"/>
  <c r="I49" i="6" s="1"/>
  <c r="H45" i="6"/>
  <c r="I45" i="6" s="1"/>
  <c r="H40" i="6"/>
  <c r="I40" i="6" s="1"/>
  <c r="H33" i="6"/>
  <c r="I33" i="6" s="1"/>
  <c r="H28" i="6"/>
  <c r="I28" i="6" s="1"/>
  <c r="H25" i="6"/>
  <c r="I25" i="6" s="1"/>
  <c r="H66" i="5"/>
  <c r="I66" i="5" s="1"/>
  <c r="H65" i="5"/>
  <c r="I65" i="5" s="1"/>
  <c r="H60" i="5"/>
  <c r="I60" i="5" s="1"/>
  <c r="H57" i="5"/>
  <c r="I57" i="5" s="1"/>
  <c r="H52" i="5"/>
  <c r="I52" i="5" s="1"/>
  <c r="H48" i="5"/>
  <c r="I48" i="5" s="1"/>
  <c r="H46" i="5"/>
  <c r="I46" i="5" s="1"/>
  <c r="H45" i="5"/>
  <c r="I45" i="5" s="1"/>
  <c r="H29" i="5"/>
  <c r="I29" i="5" s="1"/>
  <c r="H23" i="5"/>
  <c r="I67" i="4"/>
  <c r="J67" i="4" s="1"/>
  <c r="I64" i="4"/>
  <c r="J64" i="4" s="1"/>
  <c r="I47" i="4"/>
  <c r="I35" i="4"/>
  <c r="I32" i="4"/>
  <c r="J32" i="4" s="1"/>
  <c r="BY35" i="2" l="1"/>
  <c r="I47" i="28"/>
  <c r="I35" i="28"/>
  <c r="BX35" i="2"/>
  <c r="BY34" i="2"/>
  <c r="J47" i="27"/>
  <c r="CA33" i="2"/>
  <c r="J71" i="26"/>
  <c r="J59" i="26"/>
  <c r="BZ33" i="2"/>
  <c r="J47" i="26"/>
  <c r="BY33" i="2"/>
  <c r="I59" i="22"/>
  <c r="BZ27" i="2"/>
  <c r="J23" i="21"/>
  <c r="BW26" i="2"/>
  <c r="I71" i="19"/>
  <c r="CA24" i="2"/>
  <c r="BZ24" i="2"/>
  <c r="I59" i="19"/>
  <c r="I35" i="19"/>
  <c r="BX24" i="2"/>
  <c r="BX23" i="2"/>
  <c r="K35" i="18"/>
  <c r="BY22" i="2"/>
  <c r="I47" i="17"/>
  <c r="CA19" i="2"/>
  <c r="L71" i="15"/>
  <c r="L47" i="15"/>
  <c r="BY19" i="2"/>
  <c r="J71" i="14"/>
  <c r="CA18" i="2"/>
  <c r="J59" i="10"/>
  <c r="BZ14" i="2"/>
  <c r="J23" i="10"/>
  <c r="BW14" i="2"/>
  <c r="J71" i="9"/>
  <c r="CA13" i="2"/>
  <c r="BZ12" i="2"/>
  <c r="J59" i="8"/>
  <c r="J71" i="7"/>
  <c r="CA11" i="2"/>
  <c r="I71" i="5"/>
  <c r="CA9" i="2"/>
  <c r="J71" i="4"/>
  <c r="CA8" i="2"/>
  <c r="K23" i="18"/>
  <c r="BW23" i="2"/>
  <c r="J59" i="12"/>
  <c r="BZ16" i="2"/>
  <c r="BW24" i="2"/>
  <c r="I23" i="19"/>
  <c r="BX18" i="2"/>
  <c r="J35" i="14"/>
  <c r="BW10" i="2"/>
  <c r="I23" i="6"/>
  <c r="J59" i="14"/>
  <c r="BZ18" i="2"/>
  <c r="BW16" i="2"/>
  <c r="J23" i="12"/>
  <c r="BY11" i="2"/>
  <c r="J47" i="7"/>
  <c r="BX9" i="2"/>
  <c r="I35" i="5"/>
  <c r="BZ35" i="2"/>
  <c r="I59" i="28"/>
  <c r="I23" i="28"/>
  <c r="BW35" i="2"/>
  <c r="J36" i="26"/>
  <c r="BX33" i="2"/>
  <c r="BW30" i="2"/>
  <c r="J23" i="24"/>
  <c r="BX29" i="2"/>
  <c r="J35" i="23"/>
  <c r="BY27" i="2"/>
  <c r="I47" i="22"/>
  <c r="J71" i="21"/>
  <c r="CA26" i="2"/>
  <c r="BZ25" i="2"/>
  <c r="J59" i="20"/>
  <c r="BW25" i="2"/>
  <c r="J23" i="20"/>
  <c r="I47" i="19"/>
  <c r="BY24" i="2"/>
  <c r="K71" i="18"/>
  <c r="CA23" i="2"/>
  <c r="BY23" i="2"/>
  <c r="K47" i="18"/>
  <c r="BX22" i="2"/>
  <c r="I35" i="17"/>
  <c r="L59" i="15"/>
  <c r="BZ19" i="2"/>
  <c r="J71" i="13"/>
  <c r="CA17" i="2"/>
  <c r="BY17" i="2"/>
  <c r="J47" i="13"/>
  <c r="J35" i="13"/>
  <c r="BX17" i="2"/>
  <c r="BX14" i="2"/>
  <c r="J35" i="10"/>
  <c r="J35" i="8"/>
  <c r="BX12" i="2"/>
  <c r="BZ11" i="2"/>
  <c r="J59" i="7"/>
  <c r="CA10" i="2"/>
  <c r="I71" i="6"/>
  <c r="BZ9" i="2"/>
  <c r="I59" i="5"/>
  <c r="BY9" i="2"/>
  <c r="I47" i="5"/>
  <c r="I71" i="28"/>
  <c r="CA35" i="2"/>
  <c r="J59" i="27"/>
  <c r="BZ34" i="2"/>
  <c r="CA32" i="2"/>
  <c r="J71" i="25"/>
  <c r="BZ32" i="2"/>
  <c r="J59" i="25"/>
  <c r="BX32" i="2"/>
  <c r="J35" i="25"/>
  <c r="CA30" i="2"/>
  <c r="J71" i="24"/>
  <c r="BZ30" i="2"/>
  <c r="J59" i="24"/>
  <c r="BY30" i="2"/>
  <c r="J47" i="24"/>
  <c r="J59" i="23"/>
  <c r="BZ29" i="2"/>
  <c r="J24" i="23"/>
  <c r="BW29" i="2"/>
  <c r="I35" i="22"/>
  <c r="BX27" i="2"/>
  <c r="J47" i="21"/>
  <c r="BY26" i="2"/>
  <c r="J35" i="21"/>
  <c r="BX26" i="2"/>
  <c r="BZ23" i="2"/>
  <c r="K59" i="18"/>
  <c r="BZ22" i="2"/>
  <c r="I59" i="17"/>
  <c r="BW19" i="2"/>
  <c r="L23" i="15"/>
  <c r="CA14" i="2"/>
  <c r="J71" i="10"/>
  <c r="J47" i="9"/>
  <c r="BY13" i="2"/>
  <c r="J35" i="9"/>
  <c r="BX13" i="2"/>
  <c r="BX10" i="2"/>
  <c r="I35" i="6"/>
  <c r="J35" i="27"/>
  <c r="BX34" i="2"/>
  <c r="BW34" i="2"/>
  <c r="J23" i="27"/>
  <c r="BX30" i="2"/>
  <c r="J35" i="24"/>
  <c r="CA27" i="2"/>
  <c r="I71" i="22"/>
  <c r="BW27" i="2"/>
  <c r="CB27" i="2" s="1"/>
  <c r="I23" i="22"/>
  <c r="BZ26" i="2"/>
  <c r="J59" i="21"/>
  <c r="J71" i="20"/>
  <c r="CA25" i="2"/>
  <c r="I71" i="17"/>
  <c r="CA22" i="2"/>
  <c r="I23" i="17"/>
  <c r="BW22" i="2"/>
  <c r="CB22" i="2" s="1"/>
  <c r="BY18" i="2"/>
  <c r="J47" i="14"/>
  <c r="BW18" i="2"/>
  <c r="CB18" i="2" s="1"/>
  <c r="J23" i="14"/>
  <c r="J23" i="13"/>
  <c r="BW17" i="2"/>
  <c r="BX16" i="2"/>
  <c r="J35" i="12"/>
  <c r="BY14" i="2"/>
  <c r="J47" i="10"/>
  <c r="J23" i="9"/>
  <c r="BW13" i="2"/>
  <c r="BZ8" i="2"/>
  <c r="J59" i="4"/>
  <c r="J23" i="4"/>
  <c r="BW8" i="2"/>
  <c r="CA34" i="2"/>
  <c r="J71" i="27"/>
  <c r="J23" i="26"/>
  <c r="BW33" i="2"/>
  <c r="CB33" i="2" s="1"/>
  <c r="BY32" i="2"/>
  <c r="J47" i="25"/>
  <c r="J23" i="25"/>
  <c r="BW32" i="2"/>
  <c r="CB32" i="2" s="1"/>
  <c r="J71" i="23"/>
  <c r="CA29" i="2"/>
  <c r="J47" i="23"/>
  <c r="BY29" i="2"/>
  <c r="J47" i="20"/>
  <c r="BY25" i="2"/>
  <c r="BX25" i="2"/>
  <c r="J35" i="20"/>
  <c r="BX19" i="2"/>
  <c r="L35" i="15"/>
  <c r="CA16" i="2"/>
  <c r="J71" i="12"/>
  <c r="J47" i="12"/>
  <c r="BY16" i="2"/>
  <c r="BZ13" i="2"/>
  <c r="J59" i="9"/>
  <c r="J47" i="8"/>
  <c r="BY12" i="2"/>
  <c r="BW12" i="2"/>
  <c r="J23" i="8"/>
  <c r="J35" i="7"/>
  <c r="BX11" i="2"/>
  <c r="BY10" i="2"/>
  <c r="I47" i="6"/>
  <c r="J59" i="13"/>
  <c r="BZ17" i="2"/>
  <c r="J71" i="8"/>
  <c r="CA12" i="2"/>
  <c r="J23" i="7"/>
  <c r="BW11" i="2"/>
  <c r="CB11" i="2" s="1"/>
  <c r="BZ10" i="2"/>
  <c r="I59" i="6"/>
  <c r="I23" i="5"/>
  <c r="BW9" i="2"/>
  <c r="CB9" i="2" s="1"/>
  <c r="J47" i="4"/>
  <c r="BY8" i="2"/>
  <c r="BX8" i="2"/>
  <c r="J35" i="4"/>
  <c r="BW15" i="2"/>
  <c r="BX20" i="2"/>
  <c r="BZ20" i="2"/>
  <c r="CB20" i="2" s="1"/>
  <c r="BX15" i="2"/>
  <c r="CA15" i="2"/>
  <c r="BY15" i="2"/>
  <c r="CB10" i="2" l="1"/>
  <c r="CB34" i="2"/>
  <c r="CB14" i="2"/>
  <c r="CB35" i="2"/>
  <c r="CB19" i="2"/>
  <c r="CB13" i="2"/>
  <c r="CB26" i="2"/>
  <c r="CB30" i="2"/>
  <c r="CB12" i="2"/>
  <c r="CB24" i="2"/>
  <c r="CB17" i="2"/>
  <c r="CB8" i="2"/>
  <c r="CB16" i="2"/>
  <c r="CB23" i="2"/>
  <c r="CB25" i="2"/>
  <c r="CB29" i="2"/>
  <c r="CB15" i="2"/>
</calcChain>
</file>

<file path=xl/sharedStrings.xml><?xml version="1.0" encoding="utf-8"?>
<sst xmlns="http://schemas.openxmlformats.org/spreadsheetml/2006/main" count="2855" uniqueCount="318">
  <si>
    <t>📊  MODELO DE SEGUIMIENTO · PLANEACIÓN ESTRATÉGICA 2026–2030</t>
  </si>
  <si>
    <t>Arquitectura: 1 hoja por indicador + Tablero Principal consolidado · Horizonte: enero 2026 – diciembre 2030</t>
  </si>
  <si>
    <t>🗂️  ESTRUCTURA DEL ARCHIVO</t>
  </si>
  <si>
    <t>●</t>
  </si>
  <si>
    <t>Inicio</t>
  </si>
  <si>
    <t>Esta hoja: portada e instrucciones.</t>
  </si>
  <si>
    <t>Parámetros</t>
  </si>
  <si>
    <t>Catálogo de responsables por indicador (editable) y referencias mensuales IPC/IBR.</t>
  </si>
  <si>
    <t>Tablero Principal</t>
  </si>
  <si>
    <t>Vista consolidada de los 25 indicadores. Recoge todos los meses y muestra metas + % cumplimiento por cada año.</t>
  </si>
  <si>
    <t>IND-01 ... IND-25</t>
  </si>
  <si>
    <t>Una hoja por indicador con su captura mensual y cálculo específico.</t>
  </si>
  <si>
    <t>🚀  FLUJO DE TRABAJO MENSUAL</t>
  </si>
  <si>
    <t>1.  Asigne responsables en la hoja Parámetros (catálogo editable).</t>
  </si>
  <si>
    <t>2.  Para cada indicador, abra su hoja (IND-XX) y registre las variables del mes en las celdas azules.</t>
  </si>
  <si>
    <t>3.  El resultado mensual, % de cumplimiento, semáforo y avance acumulado se calculan automáticamente.</t>
  </si>
  <si>
    <t>4.  El Tablero Principal consolida los 25 indicadores en una sola vista ejecutiva.</t>
  </si>
  <si>
    <t>5.  Las metas anuales son editables en cada hoja. Las marcadas como 'Por definir' deben completarse.</t>
  </si>
  <si>
    <t>6.  Los responsables se asignan en Parámetros y se propagan a todo el modelo.</t>
  </si>
  <si>
    <t>🚦  SEMÁFORO DE CUMPLIMIENTO</t>
  </si>
  <si>
    <t>🟢 En meta (Cumple)</t>
  </si>
  <si>
    <t>≥ 95%</t>
  </si>
  <si>
    <t>🟡 Atención (En riesgo)</t>
  </si>
  <si>
    <t>80% – 94,9%</t>
  </si>
  <si>
    <t>🔴 Crítico — revisar</t>
  </si>
  <si>
    <t>&lt; 80%</t>
  </si>
  <si>
    <t>⚪ Pendiente</t>
  </si>
  <si>
    <t>Sin dato / sin meta</t>
  </si>
  <si>
    <t>📋  ÍNDICE DE INDICADORES</t>
  </si>
  <si>
    <t>Código</t>
  </si>
  <si>
    <t>Perspectiva</t>
  </si>
  <si>
    <t>Objetivo Específico</t>
  </si>
  <si>
    <t>Indicador</t>
  </si>
  <si>
    <t>Frecuencia</t>
  </si>
  <si>
    <t>IND-01</t>
  </si>
  <si>
    <t>💰 Financiera</t>
  </si>
  <si>
    <t>Aumento de ingresos</t>
  </si>
  <si>
    <t>Crecimiento de cartera en líneas de mayor rendimiento</t>
  </si>
  <si>
    <t>Mensual</t>
  </si>
  <si>
    <t>IND-02</t>
  </si>
  <si>
    <t>Crecimiento de ingresos operativos</t>
  </si>
  <si>
    <t>IND-03</t>
  </si>
  <si>
    <t>Crecimiento de ingresos por comisiones</t>
  </si>
  <si>
    <t>IND-04</t>
  </si>
  <si>
    <t>Rentabilidad Fondo de Liquidez</t>
  </si>
  <si>
    <t>IND-05</t>
  </si>
  <si>
    <t>Reducción de mora</t>
  </si>
  <si>
    <t>Índice de mora</t>
  </si>
  <si>
    <t>IND-06</t>
  </si>
  <si>
    <t>Tasa de recuperación</t>
  </si>
  <si>
    <t>IND-07</t>
  </si>
  <si>
    <t>Tasa de normalización de cartera</t>
  </si>
  <si>
    <t>IND-08</t>
  </si>
  <si>
    <t>Crecimiento y remuneración de depósitos</t>
  </si>
  <si>
    <t>Tasa de crecimiento de ahorros</t>
  </si>
  <si>
    <t>IND-09</t>
  </si>
  <si>
    <t>Rentabilidad real de los depósitos</t>
  </si>
  <si>
    <t>IND-10</t>
  </si>
  <si>
    <t>Rentabilidad y fortalecimiento patrimonial</t>
  </si>
  <si>
    <t>Suficiencia del Margen</t>
  </si>
  <si>
    <t>IND-11</t>
  </si>
  <si>
    <t>Cumplimiento de pago de aportes sociales</t>
  </si>
  <si>
    <t>IND-12</t>
  </si>
  <si>
    <t>Capital institucional</t>
  </si>
  <si>
    <t>IND-13</t>
  </si>
  <si>
    <t>ROE</t>
  </si>
  <si>
    <t>IND-14</t>
  </si>
  <si>
    <t>🤝 Asociados</t>
  </si>
  <si>
    <t>Crecimiento de la base social</t>
  </si>
  <si>
    <t>Semestral</t>
  </si>
  <si>
    <t>IND-15</t>
  </si>
  <si>
    <t>Retención y profundización</t>
  </si>
  <si>
    <t>Tasa de retención de asociados anual</t>
  </si>
  <si>
    <t>Anual</t>
  </si>
  <si>
    <t>IND-16</t>
  </si>
  <si>
    <t>Índice de satisfacción del asociado</t>
  </si>
  <si>
    <t>IND-17</t>
  </si>
  <si>
    <t>Promedio de productos por asociado</t>
  </si>
  <si>
    <t>IND-18</t>
  </si>
  <si>
    <t>Operatividad digital y canales</t>
  </si>
  <si>
    <t>Tasa de contacto efectivo por canal</t>
  </si>
  <si>
    <t>IND-19</t>
  </si>
  <si>
    <t>Índice de satisfacción por canal</t>
  </si>
  <si>
    <t>Trimestral</t>
  </si>
  <si>
    <t>IND-20</t>
  </si>
  <si>
    <t>⚙️ Procesos</t>
  </si>
  <si>
    <t>Automatización de procesos</t>
  </si>
  <si>
    <t>Nivel de automatización de procesos</t>
  </si>
  <si>
    <t>IND-21</t>
  </si>
  <si>
    <t>Transformación digital del asociado</t>
  </si>
  <si>
    <t>Uso y adopción de canales transaccionales digitales</t>
  </si>
  <si>
    <t>IND-22</t>
  </si>
  <si>
    <t>🎓 Aprendizaje</t>
  </si>
  <si>
    <t>Formación de asociados</t>
  </si>
  <si>
    <t>Formación de asociados por temáticas (financiera - solidaria)</t>
  </si>
  <si>
    <t>IND-23</t>
  </si>
  <si>
    <t>Formación en economía solidaria (20 hrs mínimo)</t>
  </si>
  <si>
    <t>IND-24</t>
  </si>
  <si>
    <t>Formación y desarrollo del personal</t>
  </si>
  <si>
    <t>Cumplimiento del plan de formación de personal</t>
  </si>
  <si>
    <t>IND-25</t>
  </si>
  <si>
    <t>Clima organizacional y compromiso del personal</t>
  </si>
  <si>
    <t>📊  TABLERO PRINCIPAL DE INDICADORES  ·  PLANEACIÓN ESTRATÉGICA 2026–2030</t>
  </si>
  <si>
    <t>Vista consolidada · Todos los indicadores · Todos los meses (Ene-2026 → Dic-2030) · Metas y % cumplimiento por año</t>
  </si>
  <si>
    <t>FICHA DEL INDICADOR</t>
  </si>
  <si>
    <t>🎯  METAS ANUALES</t>
  </si>
  <si>
    <t>SÁBANA MENSUAL · 2026</t>
  </si>
  <si>
    <t>SÁBANA MENSUAL · 2027</t>
  </si>
  <si>
    <t>SÁBANA MENSUAL · 2028</t>
  </si>
  <si>
    <t>SÁBANA MENSUAL · 2029</t>
  </si>
  <si>
    <t>SÁBANA MENSUAL · 2030</t>
  </si>
  <si>
    <t>✅  % CUMPLIMIENTO ANUAL</t>
  </si>
  <si>
    <t>ESTADO</t>
  </si>
  <si>
    <t>Fórmula</t>
  </si>
  <si>
    <t>Descripción</t>
  </si>
  <si>
    <t>Unidad</t>
  </si>
  <si>
    <t>Tendencia</t>
  </si>
  <si>
    <t>Responsable</t>
  </si>
  <si>
    <t>2026</t>
  </si>
  <si>
    <t>2027</t>
  </si>
  <si>
    <t>2028</t>
  </si>
  <si>
    <t>2029</t>
  </si>
  <si>
    <t>2030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</si>
  <si>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</si>
  <si>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</si>
  <si>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</si>
  <si>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</si>
  <si>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</si>
  <si>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</si>
  <si>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</si>
  <si>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</si>
  <si>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</si>
  <si>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</si>
  <si>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</si>
  <si>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</si>
  <si>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Semáforo</t>
  </si>
  <si>
    <t>💰  PERSPECTIVA  FINANCIERA</t>
  </si>
  <si>
    <t>Saldo de cartera de líneas de mayor rendimiento ÷ Saldo total de cartera</t>
  </si>
  <si>
    <t>Mide la participación de las líneas de crédito con mayor tasa efectiva y contribución al margen financiero. Por el momento, Rotativo y Tarjeta de Crédito.</t>
  </si>
  <si>
    <t>%</t>
  </si>
  <si>
    <t>Crecer</t>
  </si>
  <si>
    <t>(Ingresos de cartera final − Ingresos de cartera inicial) ÷ Ingresos de cartera inicial</t>
  </si>
  <si>
    <t>Refleja el impacto directo de la colocación sobre los ingresos financieros.</t>
  </si>
  <si>
    <t>(Ingresos por comisiones final − Ingresos por comisiones inicial) ÷ Ingresos por comisiones inicial</t>
  </si>
  <si>
    <t>Mide el incremento de ingresos derivados del uso de servicios no financieros (convenios).</t>
  </si>
  <si>
    <t>Tasa promedio ponderada de rentabilidad del fondo de liquidez − IBR</t>
  </si>
  <si>
    <t>Mide la capacidad de generar rentabilidad por encima del mercado.</t>
  </si>
  <si>
    <t>Puntos básicos</t>
  </si>
  <si>
    <t>Saldo de cartera ≥ B ÷ Saldo total de cartera</t>
  </si>
  <si>
    <t>Mide el nivel de morosidad de la cartera por crédito, sin aplicación de arrastres o riesgo.</t>
  </si>
  <si>
    <t>Reducir</t>
  </si>
  <si>
    <t>Saldo de cartera recuperada ÷ Saldo de cartera deteriorada</t>
  </si>
  <si>
    <t>Mide la proporción de cartera recuperada frente a la deteriorada por rodamiento (matriz de transición).</t>
  </si>
  <si>
    <t>Saldo de normalizaciones al día ÷ Saldo total de normalizaciones</t>
  </si>
  <si>
    <t>Mide la efectividad de acuerdos de pago y reestructuraciones.</t>
  </si>
  <si>
    <t>(Saldo final depósitos − Saldo inicial depósitos) ÷ Saldo inicial depósitos</t>
  </si>
  <si>
    <t>Mide el crecimiento de los depósitos entre periodos.</t>
  </si>
  <si>
    <t>Tasa promedio ponderada ahorros − IPC</t>
  </si>
  <si>
    <t>Asegura que la tasa de rendimiento de los depósitos supere la inflación (poder adquisitivo del ahorro).</t>
  </si>
  <si>
    <t>% vs IPC</t>
  </si>
  <si>
    <t>Mantener</t>
  </si>
  <si>
    <t>Margen financiero bruto ÷ Gastos operativos</t>
  </si>
  <si>
    <t>Evalúa la capacidad del margen financiero bruto para cubrir los gastos operativos.</t>
  </si>
  <si>
    <t>Veces (x)</t>
  </si>
  <si>
    <t>Recaudo real de aportes ÷ Recaudo esperado de aportes</t>
  </si>
  <si>
    <t>Mide el grado de cumplimiento del recaudo mensual de aportes frente al esperado.</t>
  </si>
  <si>
    <t>(Aportes amortizados + Reserva protección aportes + Excedente mes) ÷ Activo</t>
  </si>
  <si>
    <t>Mide la proporción del patrimonio permanente frente al total de activos.</t>
  </si>
  <si>
    <t>Excedente ÷ Patrimonio</t>
  </si>
  <si>
    <t>Rentabilidad sobre el patrimonio.</t>
  </si>
  <si>
    <t>🤝  PERSPECTIVA  ASOCIADOS</t>
  </si>
  <si>
    <t>((Asociados periodo actual − periodo anterior) ÷ periodo anterior); meta = total asociados</t>
  </si>
  <si>
    <t>Evalúa el incremento de asociados y el cumplimiento de la meta de base social.</t>
  </si>
  <si>
    <t>N° asociados</t>
  </si>
  <si>
    <t>(Total asociados final − asociados nuevos) ÷ Total asociados inicial</t>
  </si>
  <si>
    <t>Mide la capacidad de la cooperativa para mantener su base social activa.</t>
  </si>
  <si>
    <t>Promedio ponderado de encuestas de satisfacción</t>
  </si>
  <si>
    <t>Evalúa la percepción del servicio para identificar oportunidades de mejora.</t>
  </si>
  <si>
    <t>Puntos (escala)</t>
  </si>
  <si>
    <t>Total de productos activos ÷ Total de asociados activos</t>
  </si>
  <si>
    <t>Mide el nivel de profundización comercial en la base social.</t>
  </si>
  <si>
    <t>Productos</t>
  </si>
  <si>
    <t>Contactos efectivos ÷ Total contactos realizados</t>
  </si>
  <si>
    <t>Evalúa la efectividad de los canales en la interacción con los asociados.</t>
  </si>
  <si>
    <t>Promedio de calificación obtenida en encuestas por canal</t>
  </si>
  <si>
    <t>Mide la percepción del asociado frente a cada canal de atención.</t>
  </si>
  <si>
    <t>⚙️  PERSPECTIVA  PROCESOS</t>
  </si>
  <si>
    <t>Tareas automatizadas ÷ Total procesos identificados</t>
  </si>
  <si>
    <t>Mide el porcentaje de procesos operativos y de servicio que han sido automatizados.</t>
  </si>
  <si>
    <t>Transacciones digitales (&lt;70 años) ÷ Total transacciones (&lt;70 años)</t>
  </si>
  <si>
    <t>Mide el uso de canales digitales (Coop Digital y App) por asociados menores de 70 años.</t>
  </si>
  <si>
    <t>🎓  PERSPECTIVA  APRENDIZAJE</t>
  </si>
  <si>
    <t>Asociados capacitados ÷ Total de asociados</t>
  </si>
  <si>
    <t>Mide el porcentaje de asociados que participan en programas de educación financiera y cooperativa.</t>
  </si>
  <si>
    <t>Asociados con horas mínimas de formación ÷ Total de asociados</t>
  </si>
  <si>
    <t>Mide el porcentaje de asociados que han cumplido con la formación básica de economía solidaria.</t>
  </si>
  <si>
    <t>Actividades de formación ejecutadas ÷ Actividades planificadas</t>
  </si>
  <si>
    <t>Mide el grado de ejecución del plan de capacitación definido.</t>
  </si>
  <si>
    <t>Promedio de resultados de la encuesta de clima organizacional</t>
  </si>
  <si>
    <t>Mide la percepción de los colaboradores sobre el ambiente laboral.</t>
  </si>
  <si>
    <t>⚙️  PARÁMETROS DE CONFIGURACIÓN</t>
  </si>
  <si>
    <t>👤  CATÁLOGO DE RESPONSABLES POR INDICADOR  (editable)</t>
  </si>
  <si>
    <t>Gerencia Financiera</t>
  </si>
  <si>
    <t>Cartera</t>
  </si>
  <si>
    <t>Tesorería</t>
  </si>
  <si>
    <t>Por definir</t>
  </si>
  <si>
    <t>Tecnología</t>
  </si>
  <si>
    <t>📊  REFERENCIAS MENSUALES  (IPC / IBR — usadas en indicadores que las requieren)</t>
  </si>
  <si>
    <t>Año</t>
  </si>
  <si>
    <t>Mes</t>
  </si>
  <si>
    <t>IPC (%)</t>
  </si>
  <si>
    <t>IBR (%)</t>
  </si>
  <si>
    <t>💰  IND-01  ·  CRECIMIENTO DE CARTERA EN LÍNEAS DE MAYOR RENDIMIENTO</t>
  </si>
  <si>
    <t>Perspectiva: Financiera   ·   Objetivo específico: 📈 Aumento de ingresos</t>
  </si>
  <si>
    <t>Tendencia objetivo</t>
  </si>
  <si>
    <t>🎯  METAS ANUALES  (editable)</t>
  </si>
  <si>
    <t>Meta</t>
  </si>
  <si>
    <t>Notas</t>
  </si>
  <si>
    <t>📝  CAPTURA MENSUAL DE VARIABLES  (Ene-2026 → Dic-2030)</t>
  </si>
  <si>
    <t>Ingrese los valores en las celdas azules. El resultado, % cumplimiento y semáforo se calculan automáticamente. Solo se habilitan los meses según la frecuencia del indicador.</t>
  </si>
  <si>
    <t>#</t>
  </si>
  <si>
    <t>Saldo cartera líneas mayor rendimiento ($)</t>
  </si>
  <si>
    <t>Saldo total de cartera ($)</t>
  </si>
  <si>
    <t>Resultado</t>
  </si>
  <si>
    <t>Meta año</t>
  </si>
  <si>
    <t>% Cumpl.</t>
  </si>
  <si>
    <t>Estado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</si>
  <si>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</si>
  <si>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</si>
  <si>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</si>
  <si>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</si>
  <si>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</si>
  <si>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</si>
  <si>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</si>
  <si>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</si>
  <si>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</si>
  <si>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</si>
  <si>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</si>
  <si>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</si>
  <si>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💰  IND-02  ·  CRECIMIENTO DE INGRESOS OPERATIVOS</t>
  </si>
  <si>
    <t>Ingresos de cartera del mes ($)</t>
  </si>
  <si>
    <t>💰  IND-03  ·  CRECIMIENTO DE INGRESOS POR COMISIONES</t>
  </si>
  <si>
    <t>Ingresos por comisiones del mes ($)</t>
  </si>
  <si>
    <t>💰  IND-04  ·  RENTABILIDAD FONDO DE LIQUIDEZ</t>
  </si>
  <si>
    <t>Tasa promedio ponderada Fondo de Liquidez (%)</t>
  </si>
  <si>
    <t>💰  IND-05  ·  ÍNDICE DE MORA</t>
  </si>
  <si>
    <t>Perspectiva: Financiera   ·   Objetivo específico: 🛡️ Reducción de mora</t>
  </si>
  <si>
    <t>Saldo de cartera en mora ≥ B ($)</t>
  </si>
  <si>
    <t>💰  IND-06  ·  TASA DE RECUPERACIÓN</t>
  </si>
  <si>
    <t>Saldo cartera recuperada ($)</t>
  </si>
  <si>
    <t>Saldo cartera deteriorada ($)</t>
  </si>
  <si>
    <t>💰  IND-07  ·  TASA DE NORMALIZACIÓN DE CARTERA</t>
  </si>
  <si>
    <t>Saldo normalizaciones al día ($)</t>
  </si>
  <si>
    <t>Saldo total normalizaciones ($)</t>
  </si>
  <si>
    <t>💰  IND-08  ·  TASA DE CRECIMIENTO DE AHORROS</t>
  </si>
  <si>
    <t>Perspectiva: Financiera   ·   Objetivo específico: 🏦 Crecimiento y remuneración de depósitos</t>
  </si>
  <si>
    <t>≥ IPC</t>
  </si>
  <si>
    <t>Saldo total de depósitos del mes ($)</t>
  </si>
  <si>
    <t>💰  IND-09  ·  RENTABILIDAD REAL DE LOS DEPÓSITOS</t>
  </si>
  <si>
    <t>Tasa promedio ponderada ahorros (%)</t>
  </si>
  <si>
    <t>💰  IND-10  ·  SUFICIENCIA DEL MARGEN</t>
  </si>
  <si>
    <t>Perspectiva: Financiera   ·   Objetivo específico: 💎 Rentabilidad y fortalecimiento patrimonial</t>
  </si>
  <si>
    <t>Margen financiero bruto ($)</t>
  </si>
  <si>
    <t>Gastos operativos ($)</t>
  </si>
  <si>
    <t>💰  IND-11  ·  CUMPLIMIENTO DE PAGO DE APORTES SOCIALES</t>
  </si>
  <si>
    <t>Recaudo real de aportes ($)</t>
  </si>
  <si>
    <t>Recaudo esperado de aportes ($)</t>
  </si>
  <si>
    <t>💰  IND-12  ·  CAPITAL INSTITUCIONAL</t>
  </si>
  <si>
    <t>Aportes amortizados ($)</t>
  </si>
  <si>
    <t>Reserva protección aportes ($)</t>
  </si>
  <si>
    <t>Excedente del mes ($)</t>
  </si>
  <si>
    <t>Activo total ($)</t>
  </si>
  <si>
    <t>💰  IND-13  ·  ROE</t>
  </si>
  <si>
    <t>&gt; IPC</t>
  </si>
  <si>
    <t>Excedente ($)</t>
  </si>
  <si>
    <t>Patrimonio ($)</t>
  </si>
  <si>
    <t>🤝  IND-14  ·  CRECIMIENTO DE LA BASE SOCIAL</t>
  </si>
  <si>
    <t>Perspectiva: Asociados   ·   Objetivo específico: 🌱 Crecimiento de la base social</t>
  </si>
  <si>
    <t>Total de asociados al cierre del mes</t>
  </si>
  <si>
    <t>🤝  IND-15  ·  TASA DE RETENCIÓN DE ASOCIADOS ANUAL</t>
  </si>
  <si>
    <t>Perspectiva: Asociados   ·   Objetivo específico: 💗 Retención y profundización</t>
  </si>
  <si>
    <t>Total asociados al final del periodo</t>
  </si>
  <si>
    <t>Asociados nuevos del periodo</t>
  </si>
  <si>
    <t>Total asociados al inicio del periodo</t>
  </si>
  <si>
    <t>🤝  IND-16  ·  ÍNDICE DE SATISFACCIÓN DEL ASOCIADO</t>
  </si>
  <si>
    <t>Resultado de encuesta de satisfacción (escala 0–1)</t>
  </si>
  <si>
    <t>🤝  IND-17  ·  PROMEDIO DE PRODUCTOS POR ASOCIADO</t>
  </si>
  <si>
    <t>Total productos activos</t>
  </si>
  <si>
    <t>Total asociados activos</t>
  </si>
  <si>
    <t>🤝  IND-18  ·  TASA DE CONTACTO EFECTIVO POR CANAL</t>
  </si>
  <si>
    <t>Perspectiva: Asociados   ·   Objetivo específico: 📱 Operatividad digital y canales</t>
  </si>
  <si>
    <t>Contactos efectivos</t>
  </si>
  <si>
    <t>Total contactos realizados</t>
  </si>
  <si>
    <t>🤝  IND-19  ·  ÍNDICE DE SATISFACCIÓN POR CANAL</t>
  </si>
  <si>
    <t>Calificación promedio encuesta por canal (escala 0–1)</t>
  </si>
  <si>
    <t>⚙️  IND-20  ·  NIVEL DE AUTOMATIZACIÓN DE PROCESOS</t>
  </si>
  <si>
    <t>Perspectiva: Procesos   ·   Objetivo específico: 🤖 Automatización de procesos</t>
  </si>
  <si>
    <t>Tareas/procesos automatizados</t>
  </si>
  <si>
    <t>Total procesos identificados</t>
  </si>
  <si>
    <t>⚙️  IND-21  ·  USO Y ADOPCIÓN DE CANALES TRANSACCIONALES DIGITALES</t>
  </si>
  <si>
    <t>Perspectiva: Procesos   ·   Objetivo específico: 💻 Transformación digital del asociado</t>
  </si>
  <si>
    <t>Transacciones digitales (&lt;70 años)</t>
  </si>
  <si>
    <t>Total transacciones (&lt;70 años)</t>
  </si>
  <si>
    <t>🎓  IND-22  ·  FORMACIÓN DE ASOCIADOS POR TEMÁTICAS (FINANCIERA - SOLIDARIA)</t>
  </si>
  <si>
    <t>Perspectiva: Aprendizaje   ·   Objetivo específico: 📚 Formación de asociados</t>
  </si>
  <si>
    <t>Asociados capacitados (acumulado año)</t>
  </si>
  <si>
    <t>Total de asociados</t>
  </si>
  <si>
    <t>🎓  IND-23  ·  FORMACIÓN EN ECONOMÍA SOLIDARIA (20 HRS MÍNIMO)</t>
  </si>
  <si>
    <t>Asociados que cumplen 20h</t>
  </si>
  <si>
    <t>🎓  IND-24  ·  CUMPLIMIENTO DEL PLAN DE FORMACIÓN DE PERSONAL</t>
  </si>
  <si>
    <t>Perspectiva: Aprendizaje   ·   Objetivo específico: 👥 Formación y desarrollo del personal</t>
  </si>
  <si>
    <t>Actividades de formación ejecutadas</t>
  </si>
  <si>
    <t>Actividades planificadas</t>
  </si>
  <si>
    <t>🎓  IND-25  ·  CLIMA ORGANIZACIONAL Y COMPROMISO DEL PERSONAL</t>
  </si>
  <si>
    <t>Resultado encuesta clima (escala 0–1)</t>
  </si>
  <si>
    <t>Sin Riesgo</t>
  </si>
  <si>
    <t>Riesgo Muy Alto</t>
  </si>
  <si>
    <t>100% Sin Riesgo - 0% Riesgo Muy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</si>
</sst>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0&quot; bps&quot;"/>
  </numFmts>
  <fonts count="49" x14ac:knownFonts="1">
    <font>
      <sz val="11"/>
      <color theme="1"/>
      <name val="Calibri"/>
      <family val="2"/>
      <charset val="1"/>
    </font>
    <font>
      <b/>
      <sz val="18"/>
      <color rgb="FF1F6FB2"/>
      <name val="Calibri"/>
      <charset val="1"/>
    </font>
    <font>
      <sz val="11"/>
      <color rgb="FF5B6472"/>
      <name val="Calibri"/>
      <charset val="1"/>
    </font>
    <font>
      <b/>
      <sz val="13"/>
      <color rgb="FF1A1A2E"/>
      <name val="Calibri"/>
      <charset val="1"/>
    </font>
    <font>
      <b/>
      <sz val="12"/>
      <color rgb="FF1F6FB2"/>
      <name val="Calibri"/>
      <charset val="1"/>
    </font>
    <font>
      <b/>
      <sz val="11"/>
      <color rgb="FF1A1A2E"/>
      <name val="Calibri"/>
      <charset val="1"/>
    </font>
    <font>
      <sz val="10"/>
      <color rgb="FF5B6472"/>
      <name val="Calibri"/>
      <charset val="1"/>
    </font>
    <font>
      <sz val="10"/>
      <color rgb="FF1A1A2E"/>
      <name val="Calibri"/>
      <charset val="1"/>
    </font>
    <font>
      <b/>
      <sz val="14"/>
      <color rgb="FF00A14B"/>
      <name val="Calibri"/>
      <charset val="1"/>
    </font>
    <font>
      <b/>
      <sz val="11"/>
      <color rgb="FF00A14B"/>
      <name val="Calibri"/>
      <charset val="1"/>
    </font>
    <font>
      <b/>
      <sz val="14"/>
      <color rgb="FFE08A00"/>
      <name val="Calibri"/>
      <charset val="1"/>
    </font>
    <font>
      <b/>
      <sz val="11"/>
      <color rgb="FFE08A00"/>
      <name val="Calibri"/>
      <charset val="1"/>
    </font>
    <font>
      <b/>
      <sz val="14"/>
      <color rgb="FFE63A2E"/>
      <name val="Calibri"/>
      <charset val="1"/>
    </font>
    <font>
      <b/>
      <sz val="11"/>
      <color rgb="FFE63A2E"/>
      <name val="Calibri"/>
      <charset val="1"/>
    </font>
    <font>
      <b/>
      <sz val="14"/>
      <color rgb="FF9AA4B2"/>
      <name val="Calibri"/>
      <charset val="1"/>
    </font>
    <font>
      <b/>
      <sz val="11"/>
      <color rgb="FF9AA4B2"/>
      <name val="Calibri"/>
      <charset val="1"/>
    </font>
    <font>
      <b/>
      <sz val="10"/>
      <color rgb="FFFFFFFF"/>
      <name val="Calibri"/>
      <charset val="1"/>
    </font>
    <font>
      <b/>
      <sz val="10"/>
      <color rgb="FF1F6FB2"/>
      <name val="Calibri"/>
      <charset val="1"/>
    </font>
    <font>
      <sz val="9"/>
      <color rgb="FF1A1A2E"/>
      <name val="Calibri"/>
      <charset val="1"/>
    </font>
    <font>
      <sz val="9"/>
      <color rgb="FF5B6472"/>
      <name val="Calibri"/>
      <charset val="1"/>
    </font>
    <font>
      <b/>
      <sz val="10"/>
      <color rgb="FF00A14B"/>
      <name val="Calibri"/>
      <charset val="1"/>
    </font>
    <font>
      <b/>
      <sz val="10"/>
      <color rgb="FFE08A00"/>
      <name val="Calibri"/>
      <charset val="1"/>
    </font>
    <font>
      <b/>
      <sz val="10"/>
      <color rgb="FF8E44AD"/>
      <name val="Calibri"/>
      <charset val="1"/>
    </font>
    <font>
      <b/>
      <sz val="18"/>
      <color rgb="FFFFFFFF"/>
      <name val="Calibri"/>
      <charset val="1"/>
    </font>
    <font>
      <i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7"/>
      <color rgb="FFFFFFFF"/>
      <name val="Calibri"/>
      <charset val="1"/>
    </font>
    <font>
      <b/>
      <sz val="11"/>
      <color rgb="FFFFFFFF"/>
      <name val="Calibri"/>
      <charset val="1"/>
    </font>
    <font>
      <b/>
      <sz val="9"/>
      <color rgb="FF1F6FB2"/>
      <name val="Calibri"/>
      <charset val="1"/>
    </font>
    <font>
      <sz val="8"/>
      <color rgb="FF5B6472"/>
      <name val="Calibri"/>
      <charset val="1"/>
    </font>
    <font>
      <sz val="8"/>
      <color rgb="FF1A1A2E"/>
      <name val="Calibri"/>
      <charset val="1"/>
    </font>
    <font>
      <b/>
      <sz val="9"/>
      <color rgb="FF1A1A2E"/>
      <name val="Calibri"/>
      <charset val="1"/>
    </font>
    <font>
      <sz val="7"/>
      <color rgb="FF1A1A2E"/>
      <name val="Calibri"/>
      <charset val="1"/>
    </font>
    <font>
      <b/>
      <sz val="9"/>
      <color rgb="FF00A14B"/>
      <name val="Calibri"/>
      <charset val="1"/>
    </font>
    <font>
      <b/>
      <sz val="9"/>
      <color rgb="FFE08A00"/>
      <name val="Calibri"/>
      <charset val="1"/>
    </font>
    <font>
      <b/>
      <sz val="9"/>
      <color rgb="FF8E44AD"/>
      <name val="Calibri"/>
      <charset val="1"/>
    </font>
    <font>
      <b/>
      <sz val="16"/>
      <color rgb="FFFFFFFF"/>
      <name val="Calibri"/>
      <charset val="1"/>
    </font>
    <font>
      <b/>
      <sz val="11"/>
      <color rgb="FF1F6FB2"/>
      <name val="Calibri"/>
      <charset val="1"/>
    </font>
    <font>
      <b/>
      <sz val="10"/>
      <color rgb="FF1A1A2E"/>
      <name val="Calibri"/>
      <charset val="1"/>
    </font>
    <font>
      <b/>
      <i/>
      <sz val="9"/>
      <color rgb="FF0050A0"/>
      <name val="Calibri"/>
      <charset val="1"/>
    </font>
    <font>
      <sz val="9"/>
      <color rgb="FF0050A0"/>
      <name val="Calibri"/>
      <charset val="1"/>
    </font>
    <font>
      <b/>
      <sz val="15"/>
      <color rgb="FFFFFFFF"/>
      <name val="Calibri"/>
      <charset val="1"/>
    </font>
    <font>
      <b/>
      <sz val="9"/>
      <color rgb="FF5B6472"/>
      <name val="Calibri"/>
      <charset val="1"/>
    </font>
    <font>
      <b/>
      <sz val="10"/>
      <color rgb="FF0050A0"/>
      <name val="Calibri"/>
      <charset val="1"/>
    </font>
    <font>
      <i/>
      <sz val="9"/>
      <color rgb="FF5B6472"/>
      <name val="Calibri"/>
      <charset val="1"/>
    </font>
    <font>
      <sz val="10"/>
      <color rgb="FF0050A0"/>
      <name val="Calibri"/>
      <charset val="1"/>
    </font>
    <font>
      <b/>
      <sz val="9"/>
      <color rgb="FF9AA4B2"/>
      <name val="Calibri"/>
      <charset val="1"/>
    </font>
    <font>
      <b/>
      <i/>
      <sz val="10"/>
      <color rgb="FFE08A00"/>
      <name val="Calibri"/>
      <charset val="1"/>
    </font>
    <font>
      <b/>
      <sz val="11"/>
      <color rgb="FF8E44AD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4F6FA"/>
        <bgColor rgb="FFF0F7FF"/>
      </patternFill>
    </fill>
    <fill>
      <patternFill patternType="solid">
        <fgColor rgb="FF1F6FB2"/>
        <bgColor rgb="FF008080"/>
      </patternFill>
    </fill>
    <fill>
      <patternFill patternType="solid">
        <fgColor rgb="FFFFFFFF"/>
        <bgColor rgb="FFF4F6FA"/>
      </patternFill>
    </fill>
    <fill>
      <patternFill patternType="solid">
        <fgColor rgb="FFFFF7E6"/>
        <bgColor rgb="FFFCEFD9"/>
      </patternFill>
    </fill>
    <fill>
      <patternFill patternType="solid">
        <fgColor rgb="FF00A14B"/>
        <bgColor rgb="FF008080"/>
      </patternFill>
    </fill>
    <fill>
      <patternFill patternType="solid">
        <fgColor rgb="FFEDEFF3"/>
        <bgColor rgb="FFEEF1F6"/>
      </patternFill>
    </fill>
    <fill>
      <patternFill patternType="solid">
        <fgColor rgb="FFE08A00"/>
        <bgColor rgb="FFFF8080"/>
      </patternFill>
    </fill>
    <fill>
      <patternFill patternType="solid">
        <fgColor rgb="FF8E44AD"/>
        <bgColor rgb="FF993366"/>
      </patternFill>
    </fill>
    <fill>
      <patternFill patternType="solid">
        <fgColor rgb="FFF0F7FF"/>
        <bgColor rgb="FFF4F6FA"/>
      </patternFill>
    </fill>
    <fill>
      <patternFill patternType="solid">
        <fgColor rgb="FFEEF1F6"/>
        <bgColor rgb="FFEDEFF3"/>
      </patternFill>
    </fill>
    <fill>
      <patternFill patternType="solid">
        <fgColor rgb="FFFCEFD9"/>
        <bgColor rgb="FFFFF7E6"/>
      </patternFill>
    </fill>
  </fills>
  <borders count="5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  <border>
      <left style="thin">
        <color rgb="FFD5DCE6"/>
      </left>
      <right/>
      <top style="thin">
        <color rgb="FFD5DCE6"/>
      </top>
      <bottom style="thin">
        <color rgb="FFD5DCE6"/>
      </bottom>
      <diagonal/>
    </border>
    <border>
      <left/>
      <right/>
      <top style="thin">
        <color rgb="FFD5DCE6"/>
      </top>
      <bottom style="thin">
        <color rgb="FFD5DCE6"/>
      </bottom>
      <diagonal/>
    </border>
    <border>
      <left/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6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/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21" fillId="0" borderId="1" xfId="0" applyFont="1" applyBorder="1"/>
    <xf numFmtId="0" fontId="22" fillId="0" borderId="1" xfId="0" applyFont="1" applyBorder="1"/>
    <xf numFmtId="0" fontId="17" fillId="3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textRotation="90"/>
    </xf>
    <xf numFmtId="0" fontId="18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64" fontId="31" fillId="6" borderId="1" xfId="0" applyNumberFormat="1" applyFont="1" applyFill="1" applyBorder="1" applyAlignment="1">
      <alignment horizontal="center" vertical="center" wrapText="1"/>
    </xf>
    <xf numFmtId="164" fontId="32" fillId="5" borderId="1" xfId="0" applyNumberFormat="1" applyFont="1" applyFill="1" applyBorder="1" applyAlignment="1">
      <alignment horizontal="center" vertical="center" wrapText="1"/>
    </xf>
    <xf numFmtId="164" fontId="31" fillId="3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 wrapText="1"/>
    </xf>
    <xf numFmtId="1" fontId="32" fillId="5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2" fontId="31" fillId="6" borderId="1" xfId="0" applyNumberFormat="1" applyFont="1" applyFill="1" applyBorder="1" applyAlignment="1">
      <alignment horizontal="center" vertical="center" wrapText="1"/>
    </xf>
    <xf numFmtId="2" fontId="32" fillId="5" borderId="1" xfId="0" applyNumberFormat="1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3" fontId="32" fillId="8" borderId="1" xfId="0" applyNumberFormat="1" applyFont="1" applyFill="1" applyBorder="1" applyAlignment="1">
      <alignment horizontal="center" vertical="center" wrapText="1"/>
    </xf>
    <xf numFmtId="3" fontId="32" fillId="5" borderId="1" xfId="0" applyNumberFormat="1" applyFont="1" applyFill="1" applyBorder="1" applyAlignment="1">
      <alignment horizontal="center" vertical="center" wrapText="1"/>
    </xf>
    <xf numFmtId="164" fontId="32" fillId="8" borderId="1" xfId="0" applyNumberFormat="1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0" fontId="40" fillId="11" borderId="1" xfId="0" applyNumberFormat="1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165" fontId="45" fillId="11" borderId="1" xfId="0" applyNumberFormat="1" applyFont="1" applyFill="1" applyBorder="1" applyAlignment="1">
      <alignment horizontal="center" vertical="center" wrapText="1"/>
    </xf>
    <xf numFmtId="164" fontId="38" fillId="3" borderId="1" xfId="0" applyNumberFormat="1" applyFont="1" applyFill="1" applyBorder="1" applyAlignment="1">
      <alignment horizontal="center" vertical="center" wrapText="1"/>
    </xf>
    <xf numFmtId="164" fontId="19" fillId="3" borderId="1" xfId="0" applyNumberFormat="1" applyFont="1" applyFill="1" applyBorder="1" applyAlignment="1">
      <alignment horizontal="center" vertical="center" wrapText="1"/>
    </xf>
    <xf numFmtId="10" fontId="45" fillId="11" borderId="1" xfId="0" applyNumberFormat="1" applyFont="1" applyFill="1" applyBorder="1" applyAlignment="1">
      <alignment horizontal="center" vertical="center" wrapText="1"/>
    </xf>
    <xf numFmtId="166" fontId="38" fillId="3" borderId="1" xfId="0" applyNumberFormat="1" applyFont="1" applyFill="1" applyBorder="1" applyAlignment="1">
      <alignment horizontal="center" vertical="center" wrapText="1"/>
    </xf>
    <xf numFmtId="1" fontId="19" fillId="3" borderId="1" xfId="0" applyNumberFormat="1" applyFont="1" applyFill="1" applyBorder="1" applyAlignment="1">
      <alignment horizontal="center" vertical="center" wrapText="1"/>
    </xf>
    <xf numFmtId="0" fontId="46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2" fontId="38" fillId="3" borderId="1" xfId="0" applyNumberFormat="1" applyFont="1" applyFill="1" applyBorder="1" applyAlignment="1">
      <alignment horizontal="center" vertical="center" wrapText="1"/>
    </xf>
    <xf numFmtId="2" fontId="19" fillId="3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 wrapText="1"/>
    </xf>
    <xf numFmtId="3" fontId="19" fillId="3" borderId="1" xfId="0" applyNumberFormat="1" applyFont="1" applyFill="1" applyBorder="1" applyAlignment="1">
      <alignment horizontal="center" vertical="center" wrapText="1"/>
    </xf>
    <xf numFmtId="3" fontId="45" fillId="11" borderId="1" xfId="0" applyNumberFormat="1" applyFont="1" applyFill="1" applyBorder="1" applyAlignment="1">
      <alignment horizontal="center" vertical="center" wrapText="1"/>
    </xf>
    <xf numFmtId="3" fontId="38" fillId="3" borderId="1" xfId="0" applyNumberFormat="1" applyFont="1" applyFill="1" applyBorder="1" applyAlignment="1">
      <alignment horizontal="center" vertical="center" wrapText="1"/>
    </xf>
    <xf numFmtId="2" fontId="45" fillId="11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6" fillId="0" borderId="0" xfId="0" applyFont="1" applyAlignment="1">
      <alignment horizontal="left" vertical="center" wrapText="1"/>
    </xf>
    <xf numFmtId="0" fontId="27" fillId="7" borderId="0" xfId="0" applyFont="1" applyFill="1" applyAlignment="1">
      <alignment horizontal="left" vertical="center" wrapText="1"/>
    </xf>
    <xf numFmtId="0" fontId="27" fillId="4" borderId="0" xfId="0" applyFont="1" applyFill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3" fillId="2" borderId="0" xfId="0" applyFont="1" applyFill="1" applyAlignment="1">
      <alignment horizontal="left" vertical="center" wrapText="1"/>
    </xf>
    <xf numFmtId="0" fontId="27" fillId="9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7" fillId="10" borderId="0" xfId="0" applyFont="1" applyFill="1" applyAlignment="1">
      <alignment horizontal="left" vertical="center" wrapText="1"/>
    </xf>
    <xf numFmtId="0" fontId="36" fillId="2" borderId="0" xfId="0" applyFont="1" applyFill="1" applyAlignment="1">
      <alignment horizontal="left" vertical="center" wrapText="1"/>
    </xf>
    <xf numFmtId="0" fontId="37" fillId="0" borderId="0" xfId="0" applyFont="1"/>
    <xf numFmtId="0" fontId="42" fillId="3" borderId="1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164" fontId="43" fillId="11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/>
    <xf numFmtId="0" fontId="38" fillId="0" borderId="1" xfId="0" applyFont="1" applyBorder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1" fillId="4" borderId="0" xfId="0" applyFont="1" applyFill="1" applyAlignment="1">
      <alignment horizontal="left" vertical="center" wrapText="1"/>
    </xf>
    <xf numFmtId="1" fontId="43" fillId="11" borderId="1" xfId="0" applyNumberFormat="1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2" fontId="43" fillId="11" borderId="1" xfId="0" applyNumberFormat="1" applyFont="1" applyFill="1" applyBorder="1" applyAlignment="1">
      <alignment horizontal="center" vertical="center" wrapText="1"/>
    </xf>
    <xf numFmtId="3" fontId="43" fillId="11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1" fillId="7" borderId="0" xfId="0" applyFont="1" applyFill="1" applyAlignment="1">
      <alignment horizontal="left" vertical="center" wrapText="1"/>
    </xf>
    <xf numFmtId="0" fontId="9" fillId="0" borderId="0" xfId="0" applyFont="1"/>
    <xf numFmtId="0" fontId="47" fillId="13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6" fillId="9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1" fillId="9" borderId="0" xfId="0" applyFont="1" applyFill="1" applyAlignment="1">
      <alignment horizontal="left" vertical="center" wrapText="1"/>
    </xf>
    <xf numFmtId="0" fontId="48" fillId="0" borderId="0" xfId="0" applyFont="1"/>
    <xf numFmtId="0" fontId="16" fillId="10" borderId="0" xfId="0" applyFont="1" applyFill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  <xf numFmtId="0" fontId="41" fillId="10" borderId="0" xfId="0" applyFont="1" applyFill="1" applyAlignment="1">
      <alignment horizontal="left" vertical="center" wrapText="1"/>
    </xf>
    <xf numFmtId="164" fontId="43" fillId="11" borderId="2" xfId="0" applyNumberFormat="1" applyFont="1" applyFill="1" applyBorder="1" applyAlignment="1">
      <alignment horizontal="center" vertical="center" wrapText="1"/>
    </xf>
    <xf numFmtId="164" fontId="43" fillId="11" borderId="4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0" fontId="0" fillId="3" borderId="3" xfId="0" applyFill="1" applyBorder="1"/>
  </cellXfs>
  <cellStyles count="1">
    <cellStyle name="Normal" xfId="0" builtinId="0"/>
  </cellStyles>
  <dxfs count="182"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  <dxf>
      <font>
        <b/>
        <color rgb="FF9AA4B2"/>
        <name val="Calibri"/>
        <charset val="1"/>
      </font>
      <fill>
        <patternFill>
          <bgColor rgb="FFEEF1F6"/>
        </patternFill>
      </fill>
    </dxf>
    <dxf>
      <font>
        <b/>
        <color rgb="FFFFFFFF"/>
        <name val="Calibri"/>
        <charset val="1"/>
      </font>
      <fill>
        <patternFill>
          <bgColor rgb="FFE63A2E"/>
        </patternFill>
      </fill>
    </dxf>
    <dxf>
      <font>
        <b/>
        <color rgb="FFFFFFFF"/>
        <name val="Calibri"/>
        <charset val="1"/>
      </font>
      <fill>
        <patternFill>
          <bgColor rgb="FFE08A00"/>
        </patternFill>
      </fill>
    </dxf>
    <dxf>
      <font>
        <b/>
        <color rgb="FFFFFFFF"/>
        <name val="Calibri"/>
        <charset val="1"/>
      </font>
      <fill>
        <patternFill>
          <bgColor rgb="FF00A14B"/>
        </patternFill>
      </fill>
    </dxf>
    <dxf>
      <font>
        <b/>
        <color rgb="FFE63A2E"/>
        <name val="Calibri"/>
        <charset val="1"/>
      </font>
      <fill>
        <patternFill>
          <bgColor rgb="FFFBE3E1"/>
        </patternFill>
      </fill>
    </dxf>
    <dxf>
      <font>
        <b/>
        <color rgb="FFE08A00"/>
        <name val="Calibri"/>
        <charset val="1"/>
      </font>
      <fill>
        <patternFill>
          <bgColor rgb="FFFCEFD9"/>
        </patternFill>
      </fill>
    </dxf>
    <dxf>
      <font>
        <b/>
        <color rgb="FF00A14B"/>
        <name val="Calibri"/>
        <charset val="1"/>
      </font>
      <fill>
        <patternFill>
          <bgColor rgb="FFE3F4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EF1F6"/>
      <rgbColor rgb="FF808080"/>
      <rgbColor rgb="FF9999FF"/>
      <rgbColor rgb="FF8E44AD"/>
      <rgbColor rgb="FFFFF7E6"/>
      <rgbColor rgb="FFE3F4EA"/>
      <rgbColor rgb="FF660066"/>
      <rgbColor rgb="FFFF8080"/>
      <rgbColor rgb="FF1F6FB2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F"/>
      <rgbColor rgb="FFEDEFF3"/>
      <rgbColor rgb="FFFCEFD9"/>
      <rgbColor rgb="FFF4F6FA"/>
      <rgbColor rgb="FFFF99CC"/>
      <rgbColor rgb="FFCC99FF"/>
      <rgbColor rgb="FFFBE3E1"/>
      <rgbColor rgb="FF3366FF"/>
      <rgbColor rgb="FF33CCCC"/>
      <rgbColor rgb="FF99CC00"/>
      <rgbColor rgb="FFFFCC00"/>
      <rgbColor rgb="FFE08A00"/>
      <rgbColor rgb="FFE63A2E"/>
      <rgbColor rgb="FF5B6472"/>
      <rgbColor rgb="FF9AA4B2"/>
      <rgbColor rgb="FF0050A0"/>
      <rgbColor rgb="FF00A14B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odelo_Seguimiento_Estrategico.xlsx" TargetMode="External"/><Relationship Id="rId13" Type="http://schemas.openxmlformats.org/officeDocument/2006/relationships/hyperlink" Target="Modelo_Seguimiento_Estrategico.xlsx" TargetMode="External"/><Relationship Id="rId18" Type="http://schemas.openxmlformats.org/officeDocument/2006/relationships/hyperlink" Target="Modelo_Seguimiento_Estrategico.xlsx" TargetMode="External"/><Relationship Id="rId3" Type="http://schemas.openxmlformats.org/officeDocument/2006/relationships/hyperlink" Target="Modelo_Seguimiento_Estrategico.xlsx" TargetMode="External"/><Relationship Id="rId21" Type="http://schemas.openxmlformats.org/officeDocument/2006/relationships/hyperlink" Target="Modelo_Seguimiento_Estrategico.xlsx" TargetMode="External"/><Relationship Id="rId7" Type="http://schemas.openxmlformats.org/officeDocument/2006/relationships/hyperlink" Target="Modelo_Seguimiento_Estrategico.xlsx" TargetMode="External"/><Relationship Id="rId12" Type="http://schemas.openxmlformats.org/officeDocument/2006/relationships/hyperlink" Target="Modelo_Seguimiento_Estrategico.xlsx" TargetMode="External"/><Relationship Id="rId17" Type="http://schemas.openxmlformats.org/officeDocument/2006/relationships/hyperlink" Target="Modelo_Seguimiento_Estrategico.xlsx" TargetMode="External"/><Relationship Id="rId25" Type="http://schemas.openxmlformats.org/officeDocument/2006/relationships/hyperlink" Target="Modelo_Seguimiento_Estrategico.xlsx" TargetMode="External"/><Relationship Id="rId2" Type="http://schemas.openxmlformats.org/officeDocument/2006/relationships/hyperlink" Target="Modelo_Seguimiento_Estrategico.xlsx" TargetMode="External"/><Relationship Id="rId16" Type="http://schemas.openxmlformats.org/officeDocument/2006/relationships/hyperlink" Target="Modelo_Seguimiento_Estrategico.xlsx" TargetMode="External"/><Relationship Id="rId20" Type="http://schemas.openxmlformats.org/officeDocument/2006/relationships/hyperlink" Target="Modelo_Seguimiento_Estrategico.xlsx" TargetMode="External"/><Relationship Id="rId1" Type="http://schemas.openxmlformats.org/officeDocument/2006/relationships/hyperlink" Target="Modelo_Seguimiento_Estrategico.xlsx" TargetMode="External"/><Relationship Id="rId6" Type="http://schemas.openxmlformats.org/officeDocument/2006/relationships/hyperlink" Target="Modelo_Seguimiento_Estrategico.xlsx" TargetMode="External"/><Relationship Id="rId11" Type="http://schemas.openxmlformats.org/officeDocument/2006/relationships/hyperlink" Target="Modelo_Seguimiento_Estrategico.xlsx" TargetMode="External"/><Relationship Id="rId24" Type="http://schemas.openxmlformats.org/officeDocument/2006/relationships/hyperlink" Target="Modelo_Seguimiento_Estrategico.xlsx" TargetMode="External"/><Relationship Id="rId5" Type="http://schemas.openxmlformats.org/officeDocument/2006/relationships/hyperlink" Target="Modelo_Seguimiento_Estrategico.xlsx" TargetMode="External"/><Relationship Id="rId15" Type="http://schemas.openxmlformats.org/officeDocument/2006/relationships/hyperlink" Target="Modelo_Seguimiento_Estrategico.xlsx" TargetMode="External"/><Relationship Id="rId23" Type="http://schemas.openxmlformats.org/officeDocument/2006/relationships/hyperlink" Target="Modelo_Seguimiento_Estrategico.xlsx" TargetMode="External"/><Relationship Id="rId10" Type="http://schemas.openxmlformats.org/officeDocument/2006/relationships/hyperlink" Target="Modelo_Seguimiento_Estrategico.xlsx" TargetMode="External"/><Relationship Id="rId19" Type="http://schemas.openxmlformats.org/officeDocument/2006/relationships/hyperlink" Target="Modelo_Seguimiento_Estrategico.xlsx" TargetMode="External"/><Relationship Id="rId4" Type="http://schemas.openxmlformats.org/officeDocument/2006/relationships/hyperlink" Target="Modelo_Seguimiento_Estrategico.xlsx" TargetMode="External"/><Relationship Id="rId9" Type="http://schemas.openxmlformats.org/officeDocument/2006/relationships/hyperlink" Target="Modelo_Seguimiento_Estrategico.xlsx" TargetMode="External"/><Relationship Id="rId14" Type="http://schemas.openxmlformats.org/officeDocument/2006/relationships/hyperlink" Target="Modelo_Seguimiento_Estrategico.xlsx" TargetMode="External"/><Relationship Id="rId22" Type="http://schemas.openxmlformats.org/officeDocument/2006/relationships/hyperlink" Target="Modelo_Seguimiento_Estrategico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odelo_Seguimiento_Estrategico.xlsx" TargetMode="External"/><Relationship Id="rId13" Type="http://schemas.openxmlformats.org/officeDocument/2006/relationships/hyperlink" Target="Modelo_Seguimiento_Estrategico.xlsx" TargetMode="External"/><Relationship Id="rId18" Type="http://schemas.openxmlformats.org/officeDocument/2006/relationships/hyperlink" Target="Modelo_Seguimiento_Estrategico.xlsx" TargetMode="External"/><Relationship Id="rId3" Type="http://schemas.openxmlformats.org/officeDocument/2006/relationships/hyperlink" Target="Modelo_Seguimiento_Estrategico.xlsx" TargetMode="External"/><Relationship Id="rId21" Type="http://schemas.openxmlformats.org/officeDocument/2006/relationships/hyperlink" Target="Modelo_Seguimiento_Estrategico.xlsx" TargetMode="External"/><Relationship Id="rId7" Type="http://schemas.openxmlformats.org/officeDocument/2006/relationships/hyperlink" Target="Modelo_Seguimiento_Estrategico.xlsx" TargetMode="External"/><Relationship Id="rId12" Type="http://schemas.openxmlformats.org/officeDocument/2006/relationships/hyperlink" Target="Modelo_Seguimiento_Estrategico.xlsx" TargetMode="External"/><Relationship Id="rId17" Type="http://schemas.openxmlformats.org/officeDocument/2006/relationships/hyperlink" Target="Modelo_Seguimiento_Estrategico.xlsx" TargetMode="External"/><Relationship Id="rId25" Type="http://schemas.openxmlformats.org/officeDocument/2006/relationships/hyperlink" Target="Modelo_Seguimiento_Estrategico.xlsx" TargetMode="External"/><Relationship Id="rId2" Type="http://schemas.openxmlformats.org/officeDocument/2006/relationships/hyperlink" Target="Modelo_Seguimiento_Estrategico.xlsx" TargetMode="External"/><Relationship Id="rId16" Type="http://schemas.openxmlformats.org/officeDocument/2006/relationships/hyperlink" Target="Modelo_Seguimiento_Estrategico.xlsx" TargetMode="External"/><Relationship Id="rId20" Type="http://schemas.openxmlformats.org/officeDocument/2006/relationships/hyperlink" Target="Modelo_Seguimiento_Estrategico.xlsx" TargetMode="External"/><Relationship Id="rId1" Type="http://schemas.openxmlformats.org/officeDocument/2006/relationships/hyperlink" Target="Modelo_Seguimiento_Estrategico.xlsx" TargetMode="External"/><Relationship Id="rId6" Type="http://schemas.openxmlformats.org/officeDocument/2006/relationships/hyperlink" Target="Modelo_Seguimiento_Estrategico.xlsx" TargetMode="External"/><Relationship Id="rId11" Type="http://schemas.openxmlformats.org/officeDocument/2006/relationships/hyperlink" Target="Modelo_Seguimiento_Estrategico.xlsx" TargetMode="External"/><Relationship Id="rId24" Type="http://schemas.openxmlformats.org/officeDocument/2006/relationships/hyperlink" Target="Modelo_Seguimiento_Estrategico.xlsx" TargetMode="External"/><Relationship Id="rId5" Type="http://schemas.openxmlformats.org/officeDocument/2006/relationships/hyperlink" Target="Modelo_Seguimiento_Estrategico.xlsx" TargetMode="External"/><Relationship Id="rId15" Type="http://schemas.openxmlformats.org/officeDocument/2006/relationships/hyperlink" Target="Modelo_Seguimiento_Estrategico.xlsx" TargetMode="External"/><Relationship Id="rId23" Type="http://schemas.openxmlformats.org/officeDocument/2006/relationships/hyperlink" Target="Modelo_Seguimiento_Estrategico.xlsx" TargetMode="External"/><Relationship Id="rId10" Type="http://schemas.openxmlformats.org/officeDocument/2006/relationships/hyperlink" Target="Modelo_Seguimiento_Estrategico.xlsx" TargetMode="External"/><Relationship Id="rId19" Type="http://schemas.openxmlformats.org/officeDocument/2006/relationships/hyperlink" Target="Modelo_Seguimiento_Estrategico.xlsx" TargetMode="External"/><Relationship Id="rId4" Type="http://schemas.openxmlformats.org/officeDocument/2006/relationships/hyperlink" Target="Modelo_Seguimiento_Estrategico.xlsx" TargetMode="External"/><Relationship Id="rId9" Type="http://schemas.openxmlformats.org/officeDocument/2006/relationships/hyperlink" Target="Modelo_Seguimiento_Estrategico.xlsx" TargetMode="External"/><Relationship Id="rId14" Type="http://schemas.openxmlformats.org/officeDocument/2006/relationships/hyperlink" Target="Modelo_Seguimiento_Estrategico.xlsx" TargetMode="External"/><Relationship Id="rId22" Type="http://schemas.openxmlformats.org/officeDocument/2006/relationships/hyperlink" Target="Modelo_Seguimiento_Estrategic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FB2"/>
  </sheetPr>
  <dimension ref="B2:F51"/>
  <sheetViews>
    <sheetView showGridLines="0" zoomScaleNormal="100" workbookViewId="0"/>
  </sheetViews>
  <sheetFormatPr baseColWidth="10" defaultColWidth="8.6328125" defaultRowHeight="14.5" x14ac:dyDescent="0.35"/>
  <cols>
    <col min="1" max="1" width="3" customWidth="1"/>
    <col min="2" max="2" width="28" customWidth="1"/>
    <col min="3" max="3" width="30" customWidth="1"/>
    <col min="4" max="4" width="22" customWidth="1"/>
    <col min="5" max="5" width="16" customWidth="1"/>
    <col min="6" max="6" width="12" customWidth="1"/>
    <col min="7" max="7" width="3" customWidth="1"/>
  </cols>
  <sheetData>
    <row r="2" spans="2:6" ht="31.5" customHeight="1" x14ac:dyDescent="0.55000000000000004">
      <c r="B2" s="73" t="s">
        <v>0</v>
      </c>
      <c r="C2" s="72"/>
      <c r="D2" s="72"/>
      <c r="E2" s="72"/>
      <c r="F2" s="72"/>
    </row>
    <row r="3" spans="2:6" ht="15" customHeight="1" x14ac:dyDescent="0.35">
      <c r="B3" s="75" t="s">
        <v>1</v>
      </c>
      <c r="C3" s="72"/>
      <c r="D3" s="72"/>
      <c r="E3" s="72"/>
      <c r="F3" s="72"/>
    </row>
    <row r="5" spans="2:6" ht="16.149999999999999" customHeight="1" x14ac:dyDescent="0.4">
      <c r="B5" s="74" t="s">
        <v>2</v>
      </c>
      <c r="C5" s="72"/>
      <c r="D5" s="72"/>
      <c r="E5" s="72"/>
      <c r="F5" s="72"/>
    </row>
    <row r="6" spans="2:6" ht="19.5" customHeight="1" x14ac:dyDescent="0.35">
      <c r="B6" s="1" t="s">
        <v>3</v>
      </c>
      <c r="C6" s="2" t="s">
        <v>4</v>
      </c>
      <c r="D6" s="76" t="s">
        <v>5</v>
      </c>
      <c r="E6" s="72"/>
      <c r="F6" s="72"/>
    </row>
    <row r="7" spans="2:6" ht="19.5" customHeight="1" x14ac:dyDescent="0.35">
      <c r="B7" s="1" t="s">
        <v>3</v>
      </c>
      <c r="C7" s="2" t="s">
        <v>6</v>
      </c>
      <c r="D7" s="76" t="s">
        <v>7</v>
      </c>
      <c r="E7" s="72"/>
      <c r="F7" s="72"/>
    </row>
    <row r="8" spans="2:6" ht="19.5" customHeight="1" x14ac:dyDescent="0.35">
      <c r="B8" s="1" t="s">
        <v>3</v>
      </c>
      <c r="C8" s="2" t="s">
        <v>8</v>
      </c>
      <c r="D8" s="76" t="s">
        <v>9</v>
      </c>
      <c r="E8" s="72"/>
      <c r="F8" s="72"/>
    </row>
    <row r="9" spans="2:6" ht="19.5" customHeight="1" x14ac:dyDescent="0.35">
      <c r="B9" s="1" t="s">
        <v>3</v>
      </c>
      <c r="C9" s="2" t="s">
        <v>10</v>
      </c>
      <c r="D9" s="76" t="s">
        <v>11</v>
      </c>
      <c r="E9" s="72"/>
      <c r="F9" s="72"/>
    </row>
    <row r="11" spans="2:6" ht="16.149999999999999" customHeight="1" x14ac:dyDescent="0.4">
      <c r="B11" s="74" t="s">
        <v>12</v>
      </c>
      <c r="C11" s="72"/>
      <c r="D11" s="72"/>
      <c r="E11" s="72"/>
      <c r="F11" s="72"/>
    </row>
    <row r="12" spans="2:6" ht="18" customHeight="1" x14ac:dyDescent="0.35">
      <c r="B12" s="71" t="s">
        <v>13</v>
      </c>
      <c r="C12" s="72"/>
      <c r="D12" s="72"/>
      <c r="E12" s="72"/>
      <c r="F12" s="72"/>
    </row>
    <row r="13" spans="2:6" ht="18" customHeight="1" x14ac:dyDescent="0.35">
      <c r="B13" s="71" t="s">
        <v>14</v>
      </c>
      <c r="C13" s="72"/>
      <c r="D13" s="72"/>
      <c r="E13" s="72"/>
      <c r="F13" s="72"/>
    </row>
    <row r="14" spans="2:6" ht="18" customHeight="1" x14ac:dyDescent="0.35">
      <c r="B14" s="71" t="s">
        <v>15</v>
      </c>
      <c r="C14" s="72"/>
      <c r="D14" s="72"/>
      <c r="E14" s="72"/>
      <c r="F14" s="72"/>
    </row>
    <row r="15" spans="2:6" ht="18" customHeight="1" x14ac:dyDescent="0.35">
      <c r="B15" s="71" t="s">
        <v>16</v>
      </c>
      <c r="C15" s="72"/>
      <c r="D15" s="72"/>
      <c r="E15" s="72"/>
      <c r="F15" s="72"/>
    </row>
    <row r="16" spans="2:6" ht="18" customHeight="1" x14ac:dyDescent="0.35">
      <c r="B16" s="71" t="s">
        <v>17</v>
      </c>
      <c r="C16" s="72"/>
      <c r="D16" s="72"/>
      <c r="E16" s="72"/>
      <c r="F16" s="72"/>
    </row>
    <row r="17" spans="2:6" ht="18" customHeight="1" x14ac:dyDescent="0.35">
      <c r="B17" s="71" t="s">
        <v>18</v>
      </c>
      <c r="C17" s="72"/>
      <c r="D17" s="72"/>
      <c r="E17" s="72"/>
      <c r="F17" s="72"/>
    </row>
    <row r="19" spans="2:6" ht="16.149999999999999" customHeight="1" x14ac:dyDescent="0.4">
      <c r="B19" s="74" t="s">
        <v>19</v>
      </c>
      <c r="C19" s="72"/>
      <c r="D19" s="72"/>
      <c r="E19" s="72"/>
      <c r="F19" s="72"/>
    </row>
    <row r="20" spans="2:6" ht="19.5" customHeight="1" x14ac:dyDescent="0.35">
      <c r="B20" s="3" t="s">
        <v>3</v>
      </c>
      <c r="C20" s="4" t="s">
        <v>20</v>
      </c>
      <c r="D20" s="5" t="s">
        <v>21</v>
      </c>
    </row>
    <row r="21" spans="2:6" ht="19.5" customHeight="1" x14ac:dyDescent="0.35">
      <c r="B21" s="6" t="s">
        <v>3</v>
      </c>
      <c r="C21" s="7" t="s">
        <v>22</v>
      </c>
      <c r="D21" s="5" t="s">
        <v>23</v>
      </c>
    </row>
    <row r="22" spans="2:6" ht="19.5" customHeight="1" x14ac:dyDescent="0.35">
      <c r="B22" s="8" t="s">
        <v>3</v>
      </c>
      <c r="C22" s="9" t="s">
        <v>24</v>
      </c>
      <c r="D22" s="5" t="s">
        <v>25</v>
      </c>
    </row>
    <row r="23" spans="2:6" ht="19.5" customHeight="1" x14ac:dyDescent="0.35">
      <c r="B23" s="10" t="s">
        <v>3</v>
      </c>
      <c r="C23" s="11" t="s">
        <v>26</v>
      </c>
      <c r="D23" s="5" t="s">
        <v>27</v>
      </c>
    </row>
    <row r="25" spans="2:6" ht="16.149999999999999" customHeight="1" x14ac:dyDescent="0.4">
      <c r="B25" s="74" t="s">
        <v>28</v>
      </c>
      <c r="C25" s="72"/>
      <c r="D25" s="72"/>
      <c r="E25" s="72"/>
      <c r="F25" s="72"/>
    </row>
    <row r="26" spans="2:6" ht="21.75" customHeight="1" x14ac:dyDescent="0.35">
      <c r="B26" s="12" t="s">
        <v>29</v>
      </c>
      <c r="C26" s="12" t="s">
        <v>30</v>
      </c>
      <c r="D26" s="12" t="s">
        <v>31</v>
      </c>
      <c r="E26" s="12" t="s">
        <v>32</v>
      </c>
      <c r="F26" s="12" t="s">
        <v>33</v>
      </c>
    </row>
    <row r="27" spans="2:6" ht="21.75" customHeight="1" x14ac:dyDescent="0.35">
      <c r="B27" s="13" t="s">
        <v>34</v>
      </c>
      <c r="C27" s="14" t="s">
        <v>35</v>
      </c>
      <c r="D27" s="15" t="s">
        <v>36</v>
      </c>
      <c r="E27" s="15" t="s">
        <v>37</v>
      </c>
      <c r="F27" s="16" t="s">
        <v>38</v>
      </c>
    </row>
    <row r="28" spans="2:6" ht="21.75" customHeight="1" x14ac:dyDescent="0.35">
      <c r="B28" s="13" t="s">
        <v>39</v>
      </c>
      <c r="C28" s="14" t="s">
        <v>35</v>
      </c>
      <c r="D28" s="15" t="s">
        <v>36</v>
      </c>
      <c r="E28" s="15" t="s">
        <v>40</v>
      </c>
      <c r="F28" s="16" t="s">
        <v>38</v>
      </c>
    </row>
    <row r="29" spans="2:6" ht="21.75" customHeight="1" x14ac:dyDescent="0.35">
      <c r="B29" s="13" t="s">
        <v>41</v>
      </c>
      <c r="C29" s="14" t="s">
        <v>35</v>
      </c>
      <c r="D29" s="15" t="s">
        <v>36</v>
      </c>
      <c r="E29" s="15" t="s">
        <v>42</v>
      </c>
      <c r="F29" s="16" t="s">
        <v>38</v>
      </c>
    </row>
    <row r="30" spans="2:6" ht="21.75" customHeight="1" x14ac:dyDescent="0.35">
      <c r="B30" s="13" t="s">
        <v>43</v>
      </c>
      <c r="C30" s="14" t="s">
        <v>35</v>
      </c>
      <c r="D30" s="15" t="s">
        <v>36</v>
      </c>
      <c r="E30" s="15" t="s">
        <v>44</v>
      </c>
      <c r="F30" s="16" t="s">
        <v>38</v>
      </c>
    </row>
    <row r="31" spans="2:6" ht="21.75" customHeight="1" x14ac:dyDescent="0.35">
      <c r="B31" s="13" t="s">
        <v>45</v>
      </c>
      <c r="C31" s="14" t="s">
        <v>35</v>
      </c>
      <c r="D31" s="15" t="s">
        <v>46</v>
      </c>
      <c r="E31" s="15" t="s">
        <v>47</v>
      </c>
      <c r="F31" s="16" t="s">
        <v>38</v>
      </c>
    </row>
    <row r="32" spans="2:6" ht="21.75" customHeight="1" x14ac:dyDescent="0.35">
      <c r="B32" s="13" t="s">
        <v>48</v>
      </c>
      <c r="C32" s="14" t="s">
        <v>35</v>
      </c>
      <c r="D32" s="15" t="s">
        <v>46</v>
      </c>
      <c r="E32" s="15" t="s">
        <v>49</v>
      </c>
      <c r="F32" s="16" t="s">
        <v>38</v>
      </c>
    </row>
    <row r="33" spans="2:6" ht="21.75" customHeight="1" x14ac:dyDescent="0.35">
      <c r="B33" s="13" t="s">
        <v>50</v>
      </c>
      <c r="C33" s="14" t="s">
        <v>35</v>
      </c>
      <c r="D33" s="15" t="s">
        <v>46</v>
      </c>
      <c r="E33" s="15" t="s">
        <v>51</v>
      </c>
      <c r="F33" s="16" t="s">
        <v>38</v>
      </c>
    </row>
    <row r="34" spans="2:6" ht="21.75" customHeight="1" x14ac:dyDescent="0.35">
      <c r="B34" s="13" t="s">
        <v>52</v>
      </c>
      <c r="C34" s="14" t="s">
        <v>35</v>
      </c>
      <c r="D34" s="15" t="s">
        <v>53</v>
      </c>
      <c r="E34" s="15" t="s">
        <v>54</v>
      </c>
      <c r="F34" s="16" t="s">
        <v>38</v>
      </c>
    </row>
    <row r="35" spans="2:6" ht="21.75" customHeight="1" x14ac:dyDescent="0.35">
      <c r="B35" s="13" t="s">
        <v>55</v>
      </c>
      <c r="C35" s="14" t="s">
        <v>35</v>
      </c>
      <c r="D35" s="15" t="s">
        <v>53</v>
      </c>
      <c r="E35" s="15" t="s">
        <v>56</v>
      </c>
      <c r="F35" s="16" t="s">
        <v>38</v>
      </c>
    </row>
    <row r="36" spans="2:6" ht="21.75" customHeight="1" x14ac:dyDescent="0.35">
      <c r="B36" s="13" t="s">
        <v>57</v>
      </c>
      <c r="C36" s="14" t="s">
        <v>35</v>
      </c>
      <c r="D36" s="15" t="s">
        <v>58</v>
      </c>
      <c r="E36" s="15" t="s">
        <v>59</v>
      </c>
      <c r="F36" s="16" t="s">
        <v>38</v>
      </c>
    </row>
    <row r="37" spans="2:6" ht="21.75" customHeight="1" x14ac:dyDescent="0.35">
      <c r="B37" s="13" t="s">
        <v>60</v>
      </c>
      <c r="C37" s="14" t="s">
        <v>35</v>
      </c>
      <c r="D37" s="15" t="s">
        <v>58</v>
      </c>
      <c r="E37" s="15" t="s">
        <v>61</v>
      </c>
      <c r="F37" s="16" t="s">
        <v>38</v>
      </c>
    </row>
    <row r="38" spans="2:6" ht="21.75" customHeight="1" x14ac:dyDescent="0.35">
      <c r="B38" s="13" t="s">
        <v>62</v>
      </c>
      <c r="C38" s="14" t="s">
        <v>35</v>
      </c>
      <c r="D38" s="15" t="s">
        <v>58</v>
      </c>
      <c r="E38" s="15" t="s">
        <v>63</v>
      </c>
      <c r="F38" s="16" t="s">
        <v>38</v>
      </c>
    </row>
    <row r="39" spans="2:6" ht="21.75" customHeight="1" x14ac:dyDescent="0.35">
      <c r="B39" s="13" t="s">
        <v>64</v>
      </c>
      <c r="C39" s="14" t="s">
        <v>35</v>
      </c>
      <c r="D39" s="15" t="s">
        <v>58</v>
      </c>
      <c r="E39" s="15" t="s">
        <v>65</v>
      </c>
      <c r="F39" s="16" t="s">
        <v>38</v>
      </c>
    </row>
    <row r="40" spans="2:6" ht="21.75" customHeight="1" x14ac:dyDescent="0.35">
      <c r="B40" s="13" t="s">
        <v>66</v>
      </c>
      <c r="C40" s="17" t="s">
        <v>67</v>
      </c>
      <c r="D40" s="15" t="s">
        <v>68</v>
      </c>
      <c r="E40" s="15" t="s">
        <v>68</v>
      </c>
      <c r="F40" s="16" t="s">
        <v>69</v>
      </c>
    </row>
    <row r="41" spans="2:6" ht="21.75" customHeight="1" x14ac:dyDescent="0.35">
      <c r="B41" s="13" t="s">
        <v>70</v>
      </c>
      <c r="C41" s="17" t="s">
        <v>67</v>
      </c>
      <c r="D41" s="15" t="s">
        <v>71</v>
      </c>
      <c r="E41" s="15" t="s">
        <v>72</v>
      </c>
      <c r="F41" s="16" t="s">
        <v>73</v>
      </c>
    </row>
    <row r="42" spans="2:6" ht="21.75" customHeight="1" x14ac:dyDescent="0.35">
      <c r="B42" s="13" t="s">
        <v>74</v>
      </c>
      <c r="C42" s="17" t="s">
        <v>67</v>
      </c>
      <c r="D42" s="15" t="s">
        <v>71</v>
      </c>
      <c r="E42" s="15" t="s">
        <v>75</v>
      </c>
      <c r="F42" s="16" t="s">
        <v>38</v>
      </c>
    </row>
    <row r="43" spans="2:6" ht="21.75" customHeight="1" x14ac:dyDescent="0.35">
      <c r="B43" s="13" t="s">
        <v>76</v>
      </c>
      <c r="C43" s="17" t="s">
        <v>67</v>
      </c>
      <c r="D43" s="15" t="s">
        <v>71</v>
      </c>
      <c r="E43" s="15" t="s">
        <v>77</v>
      </c>
      <c r="F43" s="16" t="s">
        <v>38</v>
      </c>
    </row>
    <row r="44" spans="2:6" ht="21.75" customHeight="1" x14ac:dyDescent="0.35">
      <c r="B44" s="13" t="s">
        <v>78</v>
      </c>
      <c r="C44" s="17" t="s">
        <v>67</v>
      </c>
      <c r="D44" s="15" t="s">
        <v>79</v>
      </c>
      <c r="E44" s="15" t="s">
        <v>80</v>
      </c>
      <c r="F44" s="16" t="s">
        <v>38</v>
      </c>
    </row>
    <row r="45" spans="2:6" ht="21.75" customHeight="1" x14ac:dyDescent="0.35">
      <c r="B45" s="13" t="s">
        <v>81</v>
      </c>
      <c r="C45" s="17" t="s">
        <v>67</v>
      </c>
      <c r="D45" s="15" t="s">
        <v>79</v>
      </c>
      <c r="E45" s="15" t="s">
        <v>82</v>
      </c>
      <c r="F45" s="16" t="s">
        <v>83</v>
      </c>
    </row>
    <row r="46" spans="2:6" ht="21.75" customHeight="1" x14ac:dyDescent="0.35">
      <c r="B46" s="13" t="s">
        <v>84</v>
      </c>
      <c r="C46" s="18" t="s">
        <v>85</v>
      </c>
      <c r="D46" s="15" t="s">
        <v>86</v>
      </c>
      <c r="E46" s="15" t="s">
        <v>87</v>
      </c>
      <c r="F46" s="16" t="s">
        <v>69</v>
      </c>
    </row>
    <row r="47" spans="2:6" ht="21.75" customHeight="1" x14ac:dyDescent="0.35">
      <c r="B47" s="13" t="s">
        <v>88</v>
      </c>
      <c r="C47" s="18" t="s">
        <v>85</v>
      </c>
      <c r="D47" s="15" t="s">
        <v>89</v>
      </c>
      <c r="E47" s="15" t="s">
        <v>90</v>
      </c>
      <c r="F47" s="16" t="s">
        <v>83</v>
      </c>
    </row>
    <row r="48" spans="2:6" ht="21.75" customHeight="1" x14ac:dyDescent="0.35">
      <c r="B48" s="13" t="s">
        <v>91</v>
      </c>
      <c r="C48" s="19" t="s">
        <v>92</v>
      </c>
      <c r="D48" s="15" t="s">
        <v>93</v>
      </c>
      <c r="E48" s="15" t="s">
        <v>94</v>
      </c>
      <c r="F48" s="16" t="s">
        <v>83</v>
      </c>
    </row>
    <row r="49" spans="2:6" ht="21.75" customHeight="1" x14ac:dyDescent="0.35">
      <c r="B49" s="13" t="s">
        <v>95</v>
      </c>
      <c r="C49" s="19" t="s">
        <v>92</v>
      </c>
      <c r="D49" s="15" t="s">
        <v>93</v>
      </c>
      <c r="E49" s="15" t="s">
        <v>96</v>
      </c>
      <c r="F49" s="16" t="s">
        <v>83</v>
      </c>
    </row>
    <row r="50" spans="2:6" ht="21.75" customHeight="1" x14ac:dyDescent="0.35">
      <c r="B50" s="13" t="s">
        <v>97</v>
      </c>
      <c r="C50" s="19" t="s">
        <v>92</v>
      </c>
      <c r="D50" s="15" t="s">
        <v>98</v>
      </c>
      <c r="E50" s="15" t="s">
        <v>99</v>
      </c>
      <c r="F50" s="16" t="s">
        <v>69</v>
      </c>
    </row>
    <row r="51" spans="2:6" ht="21.75" customHeight="1" x14ac:dyDescent="0.35">
      <c r="B51" s="13" t="s">
        <v>100</v>
      </c>
      <c r="C51" s="19" t="s">
        <v>92</v>
      </c>
      <c r="D51" s="15" t="s">
        <v>98</v>
      </c>
      <c r="E51" s="15" t="s">
        <v>101</v>
      </c>
      <c r="F51" s="16" t="s">
        <v>73</v>
      </c>
    </row>
  </sheetData>
  <mergeCells count="16">
    <mergeCell ref="B25:F25"/>
    <mergeCell ref="B3:F3"/>
    <mergeCell ref="B5:F5"/>
    <mergeCell ref="B19:F19"/>
    <mergeCell ref="D9:F9"/>
    <mergeCell ref="B14:F14"/>
    <mergeCell ref="D7:F7"/>
    <mergeCell ref="D8:F8"/>
    <mergeCell ref="D6:F6"/>
    <mergeCell ref="B17:F17"/>
    <mergeCell ref="B13:F13"/>
    <mergeCell ref="B12:F12"/>
    <mergeCell ref="B2:F2"/>
    <mergeCell ref="B16:F16"/>
    <mergeCell ref="B15:F15"/>
    <mergeCell ref="B11:F11"/>
  </mergeCells>
  <hyperlinks>
    <hyperlink ref="B27" r:id="rId1" location="'IND-01'!A1" xr:uid="{00000000-0004-0000-0000-000000000000}"/>
    <hyperlink ref="B28" r:id="rId2" location="'IND-02'!A1" xr:uid="{00000000-0004-0000-0000-000001000000}"/>
    <hyperlink ref="B29" r:id="rId3" location="'IND-03'!A1" xr:uid="{00000000-0004-0000-0000-000002000000}"/>
    <hyperlink ref="B30" r:id="rId4" location="'IND-04'!A1" xr:uid="{00000000-0004-0000-0000-000003000000}"/>
    <hyperlink ref="B31" r:id="rId5" location="'IND-05'!A1" xr:uid="{00000000-0004-0000-0000-000004000000}"/>
    <hyperlink ref="B32" r:id="rId6" location="'IND-06'!A1" xr:uid="{00000000-0004-0000-0000-000005000000}"/>
    <hyperlink ref="B33" r:id="rId7" location="'IND-07'!A1" xr:uid="{00000000-0004-0000-0000-000006000000}"/>
    <hyperlink ref="B34" r:id="rId8" location="'IND-08'!A1" xr:uid="{00000000-0004-0000-0000-000007000000}"/>
    <hyperlink ref="B35" r:id="rId9" location="'IND-09'!A1" xr:uid="{00000000-0004-0000-0000-000008000000}"/>
    <hyperlink ref="B36" r:id="rId10" location="'IND-10'!A1" xr:uid="{00000000-0004-0000-0000-000009000000}"/>
    <hyperlink ref="B37" r:id="rId11" location="'IND-11'!A1" xr:uid="{00000000-0004-0000-0000-00000A000000}"/>
    <hyperlink ref="B38" r:id="rId12" location="'IND-12'!A1" xr:uid="{00000000-0004-0000-0000-00000B000000}"/>
    <hyperlink ref="B39" r:id="rId13" location="'IND-13'!A1" xr:uid="{00000000-0004-0000-0000-00000C000000}"/>
    <hyperlink ref="B40" r:id="rId14" location="'IND-14'!A1" xr:uid="{00000000-0004-0000-0000-00000D000000}"/>
    <hyperlink ref="B41" r:id="rId15" location="'IND-15'!A1" xr:uid="{00000000-0004-0000-0000-00000E000000}"/>
    <hyperlink ref="B42" r:id="rId16" location="'IND-16'!A1" xr:uid="{00000000-0004-0000-0000-00000F000000}"/>
    <hyperlink ref="B43" r:id="rId17" location="'IND-17'!A1" xr:uid="{00000000-0004-0000-0000-000010000000}"/>
    <hyperlink ref="B44" r:id="rId18" location="'IND-18'!A1" xr:uid="{00000000-0004-0000-0000-000011000000}"/>
    <hyperlink ref="B45" r:id="rId19" location="'IND-19'!A1" xr:uid="{00000000-0004-0000-0000-000012000000}"/>
    <hyperlink ref="B46" r:id="rId20" location="'IND-20'!A1" xr:uid="{00000000-0004-0000-0000-000013000000}"/>
    <hyperlink ref="B47" r:id="rId21" location="'IND-21'!A1" xr:uid="{00000000-0004-0000-0000-000014000000}"/>
    <hyperlink ref="B48" r:id="rId22" location="'IND-22'!A1" xr:uid="{00000000-0004-0000-0000-000015000000}"/>
    <hyperlink ref="B49" r:id="rId23" location="'IND-23'!A1" xr:uid="{00000000-0004-0000-0000-000016000000}"/>
    <hyperlink ref="B50" r:id="rId24" location="'IND-24'!A1" xr:uid="{00000000-0004-0000-0000-000017000000}"/>
    <hyperlink ref="B51" r:id="rId25" location="'IND-25'!A1" xr:uid="{00000000-0004-0000-0000-00001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FB2"/>
  </sheetPr>
  <dimension ref="B1:CB35"/>
  <sheetViews>
    <sheetView showGridLines="0" zoomScale="85" zoomScaleNormal="85" workbookViewId="0">
      <pane xSplit="14" ySplit="6" topLeftCell="O30" activePane="bottomRight" state="frozen"/>
      <selection pane="topRight" activeCell="O1" sqref="O1"/>
      <selection pane="bottomLeft" activeCell="A7" sqref="A7"/>
      <selection pane="bottomRight" activeCell="J35" sqref="J35"/>
    </sheetView>
  </sheetViews>
  <sheetFormatPr baseColWidth="10" defaultColWidth="8.6328125" defaultRowHeight="14.5" x14ac:dyDescent="0.35"/>
  <cols>
    <col min="1" max="1" width="1.54296875" customWidth="1"/>
    <col min="2" max="2" width="22" customWidth="1"/>
    <col min="3" max="3" width="26" customWidth="1"/>
    <col min="4" max="4" width="32" customWidth="1"/>
    <col min="5" max="5" width="28" customWidth="1"/>
    <col min="6" max="6" width="11" customWidth="1"/>
    <col min="7" max="8" width="10" customWidth="1"/>
    <col min="9" max="9" width="16" customWidth="1"/>
    <col min="10" max="14" width="8" customWidth="1"/>
    <col min="15" max="74" width="3.81640625" customWidth="1"/>
    <col min="75" max="79" width="9" customWidth="1"/>
    <col min="80" max="80" width="13" customWidth="1"/>
  </cols>
  <sheetData>
    <row r="1" spans="2:80" ht="6" customHeight="1" x14ac:dyDescent="0.35"/>
    <row r="2" spans="2:80" ht="31.5" customHeight="1" x14ac:dyDescent="0.35">
      <c r="B2" s="82" t="s">
        <v>102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</row>
    <row r="3" spans="2:80" ht="18" customHeight="1" x14ac:dyDescent="0.35">
      <c r="B3" s="84" t="s">
        <v>103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</row>
    <row r="5" spans="2:80" ht="19.5" customHeight="1" x14ac:dyDescent="0.35">
      <c r="B5" s="79" t="s">
        <v>104</v>
      </c>
      <c r="C5" s="80"/>
      <c r="D5" s="80"/>
      <c r="E5" s="80"/>
      <c r="F5" s="80"/>
      <c r="G5" s="80"/>
      <c r="H5" s="80"/>
      <c r="I5" s="81"/>
      <c r="J5" s="79" t="s">
        <v>105</v>
      </c>
      <c r="K5" s="80"/>
      <c r="L5" s="80"/>
      <c r="M5" s="80"/>
      <c r="N5" s="81"/>
      <c r="O5" s="79" t="s">
        <v>106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1"/>
      <c r="AA5" s="79" t="s">
        <v>107</v>
      </c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1"/>
      <c r="AM5" s="79" t="s">
        <v>108</v>
      </c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1"/>
      <c r="AY5" s="79" t="s">
        <v>109</v>
      </c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1"/>
      <c r="BK5" s="79" t="s">
        <v>110</v>
      </c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1"/>
      <c r="BW5" s="79" t="s">
        <v>111</v>
      </c>
      <c r="BX5" s="80"/>
      <c r="BY5" s="80"/>
      <c r="BZ5" s="80"/>
      <c r="CA5" s="81"/>
      <c r="CB5" s="20" t="s">
        <v>112</v>
      </c>
    </row>
    <row r="6" spans="2:80" ht="39.75" customHeight="1" x14ac:dyDescent="0.35">
      <c r="B6" s="21" t="s">
        <v>31</v>
      </c>
      <c r="C6" s="21" t="s">
        <v>32</v>
      </c>
      <c r="D6" s="21" t="s">
        <v>113</v>
      </c>
      <c r="E6" s="21" t="s">
        <v>114</v>
      </c>
      <c r="F6" s="21" t="s">
        <v>115</v>
      </c>
      <c r="G6" s="21" t="s">
        <v>116</v>
      </c>
      <c r="H6" s="21" t="s">
        <v>33</v>
      </c>
      <c r="I6" s="21" t="s">
        <v>117</v>
      </c>
      <c r="J6" s="21" t="s">
        <v>118</v>
      </c>
      <c r="K6" s="21" t="s">
        <v>119</v>
      </c>
      <c r="L6" s="21" t="s">
        <v>120</v>
      </c>
      <c r="M6" s="21" t="s">
        <v>121</v>
      </c>
      <c r="N6" s="21" t="s">
        <v>122</v>
      </c>
      <c r="O6" s="22" t="s">
        <v>123</v>
      </c>
      <c r="P6" s="22" t="s">
        <v>124</v>
      </c>
      <c r="Q6" s="22" t="s">
        <v>125</v>
      </c>
      <c r="R6" s="22" t="s">
        <v>126</v>
      </c>
      <c r="S6" s="22" t="s">
        <v>127</v>
      </c>
      <c r="T6" s="22" t="s">
        <v>128</v>
      </c>
      <c r="U6" s="22" t="s">
        <v>129</v>
      </c>
      <c r="V6" s="22" t="s">
        <v>130</v>
      </c>
      <c r="W6" s="22" t="s">
        <v>131</v>
      </c>
      <c r="X6" s="22" t="s">
        <v>132</v>
      </c>
      <c r="Y6" s="22" t="s">
        <v>133</v>
      </c>
      <c r="Z6" s="22" t="s">
        <v>134</v>
      </c>
      <c r="AA6" s="22" t="s">
        <v>123</v>
      </c>
      <c r="AB6" s="22" t="s">
        <v>124</v>
      </c>
      <c r="AC6" s="22" t="s">
        <v>125</v>
      </c>
      <c r="AD6" s="22" t="s">
        <v>126</v>
      </c>
      <c r="AE6" s="22" t="s">
        <v>127</v>
      </c>
      <c r="AF6" s="22" t="s">
        <v>128</v>
      </c>
      <c r="AG6" s="22" t="s">
        <v>129</v>
      </c>
      <c r="AH6" s="22" t="s">
        <v>130</v>
      </c>
      <c r="AI6" s="22" t="s">
        <v>131</v>
      </c>
      <c r="AJ6" s="22" t="s">
        <v>132</v>
      </c>
      <c r="AK6" s="22" t="s">
        <v>133</v>
      </c>
      <c r="AL6" s="22" t="s">
        <v>134</v>
      </c>
      <c r="AM6" s="22" t="s">
        <v>123</v>
      </c>
      <c r="AN6" s="22" t="s">
        <v>124</v>
      </c>
      <c r="AO6" s="22" t="s">
        <v>125</v>
      </c>
      <c r="AP6" s="22" t="s">
        <v>126</v>
      </c>
      <c r="AQ6" s="22" t="s">
        <v>127</v>
      </c>
      <c r="AR6" s="22" t="s">
        <v>128</v>
      </c>
      <c r="AS6" s="22" t="s">
        <v>129</v>
      </c>
      <c r="AT6" s="22" t="s">
        <v>130</v>
      </c>
      <c r="AU6" s="22" t="s">
        <v>131</v>
      </c>
      <c r="AV6" s="22" t="s">
        <v>132</v>
      </c>
      <c r="AW6" s="22" t="s">
        <v>133</v>
      </c>
      <c r="AX6" s="22" t="s">
        <v>134</v>
      </c>
      <c r="AY6" s="22" t="s">
        <v>123</v>
      </c>
      <c r="AZ6" s="22" t="s">
        <v>124</v>
      </c>
      <c r="BA6" s="22" t="s">
        <v>125</v>
      </c>
      <c r="BB6" s="22" t="s">
        <v>126</v>
      </c>
      <c r="BC6" s="22" t="s">
        <v>127</v>
      </c>
      <c r="BD6" s="22" t="s">
        <v>128</v>
      </c>
      <c r="BE6" s="22" t="s">
        <v>129</v>
      </c>
      <c r="BF6" s="22" t="s">
        <v>130</v>
      </c>
      <c r="BG6" s="22" t="s">
        <v>131</v>
      </c>
      <c r="BH6" s="22" t="s">
        <v>132</v>
      </c>
      <c r="BI6" s="22" t="s">
        <v>133</v>
      </c>
      <c r="BJ6" s="22" t="s">
        <v>134</v>
      </c>
      <c r="BK6" s="22" t="s">
        <v>123</v>
      </c>
      <c r="BL6" s="22" t="s">
        <v>124</v>
      </c>
      <c r="BM6" s="22" t="s">
        <v>125</v>
      </c>
      <c r="BN6" s="22" t="s">
        <v>126</v>
      </c>
      <c r="BO6" s="22" t="s">
        <v>127</v>
      </c>
      <c r="BP6" s="22" t="s">
        <v>128</v>
      </c>
      <c r="BQ6" s="22" t="s">
        <v>129</v>
      </c>
      <c r="BR6" s="22" t="s">
        <v>130</v>
      </c>
      <c r="BS6" s="22" t="s">
        <v>131</v>
      </c>
      <c r="BT6" s="22" t="s">
        <v>132</v>
      </c>
      <c r="BU6" s="22" t="s">
        <v>133</v>
      </c>
      <c r="BV6" s="22" t="s">
        <v>134</v>
      </c>
      <c r="BW6" s="21" t="s">
        <v>118</v>
      </c>
      <c r="BX6" s="21" t="s">
        <v>119</v>
      </c>
      <c r="BY6" s="21" t="s">
        <v>120</v>
      </c>
      <c r="BZ6" s="21" t="s">
        <v>121</v>
      </c>
      <c r="CA6" s="21" t="s">
        <v>122</v>
      </c>
      <c r="CB6" s="21" t="s">
        <v>135</v>
      </c>
    </row>
    <row r="7" spans="2:80" ht="21.75" customHeight="1" x14ac:dyDescent="0.35">
      <c r="B7" s="78" t="s">
        <v>136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</row>
    <row r="8" spans="2:80" ht="37.5" customHeight="1" x14ac:dyDescent="0.35">
      <c r="B8" s="23" t="s">
        <v>36</v>
      </c>
      <c r="C8" s="24" t="s">
        <v>37</v>
      </c>
      <c r="D8" s="25" t="s">
        <v>137</v>
      </c>
      <c r="E8" s="25" t="s">
        <v>138</v>
      </c>
      <c r="F8" s="26" t="s">
        <v>139</v>
      </c>
      <c r="G8" s="27" t="s">
        <v>140</v>
      </c>
      <c r="H8" s="26" t="s">
        <v>38</v>
      </c>
      <c r="I8" s="28" t="str">
        <f>VLOOKUP("IND-01",Parámetros!$B$6:$F$30,5,FALSE())</f>
        <v>Gerencia Financiera</v>
      </c>
      <c r="J8" s="29">
        <f>'IND-01'!C14</f>
        <v>0.08</v>
      </c>
      <c r="K8" s="29">
        <f>'IND-01'!C15</f>
        <v>0.1</v>
      </c>
      <c r="L8" s="29">
        <f>'IND-01'!C16</f>
        <v>0.12</v>
      </c>
      <c r="M8" s="29">
        <f>'IND-01'!C17</f>
        <v>0.14000000000000001</v>
      </c>
      <c r="N8" s="29">
        <f>'IND-01'!C18</f>
        <v>0.16</v>
      </c>
      <c r="O8" s="30">
        <f>IFERROR(IF('IND-01'!G23="","",'IND-01'!G23),"")</f>
        <v>0.08</v>
      </c>
      <c r="P8" s="30">
        <f>IFERROR(IF('IND-01'!G24="","",'IND-01'!G24),"")</f>
        <v>0.08</v>
      </c>
      <c r="Q8" s="30">
        <f>IFERROR(IF('IND-01'!G25="","",'IND-01'!G25),"")</f>
        <v>0.08</v>
      </c>
      <c r="R8" s="30">
        <f>IFERROR(IF('IND-01'!G26="","",'IND-01'!G26),"")</f>
        <v>0.08</v>
      </c>
      <c r="S8" s="30">
        <f>IFERROR(IF('IND-01'!G27="","",'IND-01'!G27),"")</f>
        <v>0.08</v>
      </c>
      <c r="T8" s="30">
        <f>IFERROR(IF('IND-01'!G28="","",'IND-01'!G28),"")</f>
        <v>0.08</v>
      </c>
      <c r="U8" s="30">
        <f>IFERROR(IF('IND-01'!G29="","",'IND-01'!G29),"")</f>
        <v>0.08</v>
      </c>
      <c r="V8" s="30">
        <f>IFERROR(IF('IND-01'!G30="","",'IND-01'!G30),"")</f>
        <v>0.08</v>
      </c>
      <c r="W8" s="30">
        <f>IFERROR(IF('IND-01'!G31="","",'IND-01'!G31),"")</f>
        <v>0.08</v>
      </c>
      <c r="X8" s="30">
        <f>IFERROR(IF('IND-01'!G32="","",'IND-01'!G32),"")</f>
        <v>0.08</v>
      </c>
      <c r="Y8" s="30">
        <f>IFERROR(IF('IND-01'!G33="","",'IND-01'!G33),"")</f>
        <v>0.08</v>
      </c>
      <c r="Z8" s="30">
        <f>IFERROR(IF('IND-01'!G34="","",'IND-01'!G34),"")</f>
        <v>0.08</v>
      </c>
      <c r="AA8" s="30">
        <f>IFERROR(IF('IND-01'!G35="","",'IND-01'!G35),"")</f>
        <v>0.09</v>
      </c>
      <c r="AB8" s="30">
        <f>IFERROR(IF('IND-01'!G36="","",'IND-01'!G36),"")</f>
        <v>9.0999999999999998E-2</v>
      </c>
      <c r="AC8" s="30">
        <f>IFERROR(IF('IND-01'!G37="","",'IND-01'!G37),"")</f>
        <v>9.1999999999999998E-2</v>
      </c>
      <c r="AD8" s="30">
        <f>IFERROR(IF('IND-01'!G38="","",'IND-01'!G38),"")</f>
        <v>9.2999999999999999E-2</v>
      </c>
      <c r="AE8" s="30">
        <f>IFERROR(IF('IND-01'!G39="","",'IND-01'!G39),"")</f>
        <v>9.4E-2</v>
      </c>
      <c r="AF8" s="30">
        <f>IFERROR(IF('IND-01'!G40="","",'IND-01'!G40),"")</f>
        <v>9.5000000000000001E-2</v>
      </c>
      <c r="AG8" s="30" t="str">
        <f>IFERROR(IF('IND-01'!G41="","",'IND-01'!G41),"")</f>
        <v/>
      </c>
      <c r="AH8" s="30" t="str">
        <f>IFERROR(IF('IND-01'!G42="","",'IND-01'!G42),"")</f>
        <v/>
      </c>
      <c r="AI8" s="30" t="str">
        <f>IFERROR(IF('IND-01'!G43="","",'IND-01'!G43),"")</f>
        <v/>
      </c>
      <c r="AJ8" s="30" t="str">
        <f>IFERROR(IF('IND-01'!G44="","",'IND-01'!G44),"")</f>
        <v/>
      </c>
      <c r="AK8" s="30" t="str">
        <f>IFERROR(IF('IND-01'!G45="","",'IND-01'!G45),"")</f>
        <v/>
      </c>
      <c r="AL8" s="30" t="str">
        <f>IFERROR(IF('IND-01'!G46="","",'IND-01'!G46),"")</f>
        <v/>
      </c>
      <c r="AM8" s="30" t="str">
        <f>IFERROR(IF('IND-01'!G47="","",'IND-01'!G47),"")</f>
        <v/>
      </c>
      <c r="AN8" s="30" t="str">
        <f>IFERROR(IF('IND-01'!G48="","",'IND-01'!G48),"")</f>
        <v/>
      </c>
      <c r="AO8" s="30" t="str">
        <f>IFERROR(IF('IND-01'!G49="","",'IND-01'!G49),"")</f>
        <v/>
      </c>
      <c r="AP8" s="30" t="str">
        <f>IFERROR(IF('IND-01'!G50="","",'IND-01'!G50),"")</f>
        <v/>
      </c>
      <c r="AQ8" s="30" t="str">
        <f>IFERROR(IF('IND-01'!G51="","",'IND-01'!G51),"")</f>
        <v/>
      </c>
      <c r="AR8" s="30" t="str">
        <f>IFERROR(IF('IND-01'!G52="","",'IND-01'!G52),"")</f>
        <v/>
      </c>
      <c r="AS8" s="30" t="str">
        <f>IFERROR(IF('IND-01'!G53="","",'IND-01'!G53),"")</f>
        <v/>
      </c>
      <c r="AT8" s="30" t="str">
        <f>IFERROR(IF('IND-01'!G54="","",'IND-01'!G54),"")</f>
        <v/>
      </c>
      <c r="AU8" s="30" t="str">
        <f>IFERROR(IF('IND-01'!G55="","",'IND-01'!G55),"")</f>
        <v/>
      </c>
      <c r="AV8" s="30" t="str">
        <f>IFERROR(IF('IND-01'!G56="","",'IND-01'!G56),"")</f>
        <v/>
      </c>
      <c r="AW8" s="30" t="str">
        <f>IFERROR(IF('IND-01'!G57="","",'IND-01'!G57),"")</f>
        <v/>
      </c>
      <c r="AX8" s="30" t="str">
        <f>IFERROR(IF('IND-01'!G58="","",'IND-01'!G58),"")</f>
        <v/>
      </c>
      <c r="AY8" s="30" t="str">
        <f>IFERROR(IF('IND-01'!G59="","",'IND-01'!G59),"")</f>
        <v/>
      </c>
      <c r="AZ8" s="30" t="str">
        <f>IFERROR(IF('IND-01'!G60="","",'IND-01'!G60),"")</f>
        <v/>
      </c>
      <c r="BA8" s="30" t="str">
        <f>IFERROR(IF('IND-01'!G61="","",'IND-01'!G61),"")</f>
        <v/>
      </c>
      <c r="BB8" s="30" t="str">
        <f>IFERROR(IF('IND-01'!G62="","",'IND-01'!G62),"")</f>
        <v/>
      </c>
      <c r="BC8" s="30" t="str">
        <f>IFERROR(IF('IND-01'!G63="","",'IND-01'!G63),"")</f>
        <v/>
      </c>
      <c r="BD8" s="30" t="str">
        <f>IFERROR(IF('IND-01'!G64="","",'IND-01'!G64),"")</f>
        <v/>
      </c>
      <c r="BE8" s="30" t="str">
        <f>IFERROR(IF('IND-01'!G65="","",'IND-01'!G65),"")</f>
        <v/>
      </c>
      <c r="BF8" s="30" t="str">
        <f>IFERROR(IF('IND-01'!G66="","",'IND-01'!G66),"")</f>
        <v/>
      </c>
      <c r="BG8" s="30" t="str">
        <f>IFERROR(IF('IND-01'!G67="","",'IND-01'!G67),"")</f>
        <v/>
      </c>
      <c r="BH8" s="30" t="str">
        <f>IFERROR(IF('IND-01'!G68="","",'IND-01'!G68),"")</f>
        <v/>
      </c>
      <c r="BI8" s="30" t="str">
        <f>IFERROR(IF('IND-01'!G69="","",'IND-01'!G69),"")</f>
        <v/>
      </c>
      <c r="BJ8" s="30" t="str">
        <f>IFERROR(IF('IND-01'!G70="","",'IND-01'!G70),"")</f>
        <v/>
      </c>
      <c r="BK8" s="30" t="str">
        <f>IFERROR(IF('IND-01'!G71="","",'IND-01'!G71),"")</f>
        <v/>
      </c>
      <c r="BL8" s="30" t="str">
        <f>IFERROR(IF('IND-01'!G72="","",'IND-01'!G72),"")</f>
        <v/>
      </c>
      <c r="BM8" s="30" t="str">
        <f>IFERROR(IF('IND-01'!G73="","",'IND-01'!G73),"")</f>
        <v/>
      </c>
      <c r="BN8" s="30" t="str">
        <f>IFERROR(IF('IND-01'!G74="","",'IND-01'!G74),"")</f>
        <v/>
      </c>
      <c r="BO8" s="30" t="str">
        <f>IFERROR(IF('IND-01'!G75="","",'IND-01'!G75),"")</f>
        <v/>
      </c>
      <c r="BP8" s="30" t="str">
        <f>IFERROR(IF('IND-01'!G76="","",'IND-01'!G76),"")</f>
        <v/>
      </c>
      <c r="BQ8" s="30" t="str">
        <f>IFERROR(IF('IND-01'!G77="","",'IND-01'!G77),"")</f>
        <v/>
      </c>
      <c r="BR8" s="30" t="str">
        <f>IFERROR(IF('IND-01'!G78="","",'IND-01'!G78),"")</f>
        <v/>
      </c>
      <c r="BS8" s="30" t="str">
        <f>IFERROR(IF('IND-01'!G79="","",'IND-01'!G79),"")</f>
        <v/>
      </c>
      <c r="BT8" s="30" t="str">
        <f>IFERROR(IF('IND-01'!G80="","",'IND-01'!G80),"")</f>
        <v/>
      </c>
      <c r="BU8" s="30" t="str">
        <f>IFERROR(IF('IND-01'!G81="","",'IND-01'!G81),"")</f>
        <v/>
      </c>
      <c r="BV8" s="30" t="str">
        <f>IFERROR(IF('IND-01'!G82="","",'IND-01'!G82),"")</f>
        <v/>
      </c>
      <c r="BW8" s="31">
        <f>IFERROR(AVERAGE('IND-01'!I23:I34),"")</f>
        <v>1</v>
      </c>
      <c r="BX8" s="31">
        <f>IFERROR(AVERAGE('IND-01'!I35:I46),"")</f>
        <v>0.92499999999999993</v>
      </c>
      <c r="BY8" s="31" t="str">
        <f>IFERROR(AVERAGE('IND-01'!I47:I58),"")</f>
        <v/>
      </c>
      <c r="BZ8" s="31" t="str">
        <f>IFERROR(AVERAGE('IND-01'!I59:I70),"")</f>
        <v/>
      </c>
      <c r="CA8" s="31" t="str">
        <f>IFERROR(AVERAGE('IND-01'!I71:I82),"")</f>
        <v/>
      </c>
      <c r="CB8" s="32" t="str">
        <f t="shared" ref="CB8:CB20" si="0">IFERROR(IF(LOOKUP(2,1/((BW8:CA8&lt;&gt;"")*(ISNUMBER(BW8:CA8))),BW8:CA8)&gt;=0.95,"🟢 Cumple",IF(LOOKUP(2,1/((BW8:CA8&lt;&gt;"")*(ISNUMBER(BW8:CA8))),BW8:CA8)&gt;=0.8,"🟡 En riesgo","🔴 Crítico")),"⚪ Pendiente")</f>
        <v>🟡 En riesgo</v>
      </c>
    </row>
    <row r="9" spans="2:80" ht="37.5" customHeight="1" x14ac:dyDescent="0.35">
      <c r="B9" s="23" t="s">
        <v>36</v>
      </c>
      <c r="C9" s="24" t="s">
        <v>40</v>
      </c>
      <c r="D9" s="25" t="s">
        <v>141</v>
      </c>
      <c r="E9" s="25" t="s">
        <v>142</v>
      </c>
      <c r="F9" s="26" t="s">
        <v>139</v>
      </c>
      <c r="G9" s="27" t="s">
        <v>140</v>
      </c>
      <c r="H9" s="26" t="s">
        <v>38</v>
      </c>
      <c r="I9" s="28" t="str">
        <f>VLOOKUP("IND-02",Parámetros!$B$6:$F$30,5,FALSE())</f>
        <v>Gerencia Financiera</v>
      </c>
      <c r="J9" s="29">
        <f>'IND-02'!C14</f>
        <v>0.1</v>
      </c>
      <c r="K9" s="29">
        <f>'IND-02'!C15</f>
        <v>0.1</v>
      </c>
      <c r="L9" s="29">
        <f>'IND-02'!C16</f>
        <v>0.1</v>
      </c>
      <c r="M9" s="29">
        <f>'IND-02'!C17</f>
        <v>0.1</v>
      </c>
      <c r="N9" s="29">
        <f>'IND-02'!C18</f>
        <v>0.1</v>
      </c>
      <c r="O9" s="30" t="str">
        <f>IFERROR(IF('IND-02'!F23="","",'IND-02'!F23),"")</f>
        <v/>
      </c>
      <c r="P9" s="30">
        <f>IFERROR(IF('IND-02'!F24="","",'IND-02'!F24),"")</f>
        <v>8.0000000000000002E-3</v>
      </c>
      <c r="Q9" s="30">
        <f>IFERROR(IF('IND-02'!F25="","",'IND-02'!F25),"")</f>
        <v>8.0000000000000002E-3</v>
      </c>
      <c r="R9" s="30">
        <f>IFERROR(IF('IND-02'!F26="","",'IND-02'!F26),"")</f>
        <v>7.999999999999988E-3</v>
      </c>
      <c r="S9" s="30">
        <f>IFERROR(IF('IND-02'!F27="","",'IND-02'!F27),"")</f>
        <v>8.0000000000000678E-3</v>
      </c>
      <c r="T9" s="30">
        <f>IFERROR(IF('IND-02'!F28="","",'IND-02'!F28),"")</f>
        <v>7.9999999999998926E-3</v>
      </c>
      <c r="U9" s="30">
        <f>IFERROR(IF('IND-02'!F29="","",'IND-02'!F29),"")</f>
        <v>7.9999999999999325E-3</v>
      </c>
      <c r="V9" s="30">
        <f>IFERROR(IF('IND-02'!F30="","",'IND-02'!F30),"")</f>
        <v>8.0000000000000227E-3</v>
      </c>
      <c r="W9" s="30">
        <f>IFERROR(IF('IND-02'!F31="","",'IND-02'!F31),"")</f>
        <v>8.0000000000001632E-3</v>
      </c>
      <c r="X9" s="30">
        <f>IFERROR(IF('IND-02'!F32="","",'IND-02'!F32),"")</f>
        <v>8.0000000000001528E-3</v>
      </c>
      <c r="Y9" s="30">
        <f>IFERROR(IF('IND-02'!F33="","",'IND-02'!F33),"")</f>
        <v>7.9999999999991901E-3</v>
      </c>
      <c r="Z9" s="30">
        <f>IFERROR(IF('IND-02'!F34="","",'IND-02'!F34),"")</f>
        <v>8.0000000000002864E-3</v>
      </c>
      <c r="AA9" s="30">
        <f>IFERROR(IF('IND-02'!F35="","",'IND-02'!F35),"")</f>
        <v>8.0000000000000435E-3</v>
      </c>
      <c r="AB9" s="30">
        <f>IFERROR(IF('IND-02'!F36="","",'IND-02'!F36),"")</f>
        <v>8.0000000000007062E-3</v>
      </c>
      <c r="AC9" s="30">
        <f>IFERROR(IF('IND-02'!F37="","",'IND-02'!F37),"")</f>
        <v>8.0000000000000245E-3</v>
      </c>
      <c r="AD9" s="30">
        <f>IFERROR(IF('IND-02'!F38="","",'IND-02'!F38),"")</f>
        <v>7.9999999999998891E-3</v>
      </c>
      <c r="AE9" s="30">
        <f>IFERROR(IF('IND-02'!F39="","",'IND-02'!F39),"")</f>
        <v>7.9999999999996567E-3</v>
      </c>
      <c r="AF9" s="30">
        <f>IFERROR(IF('IND-02'!F40="","",'IND-02'!F40),"")</f>
        <v>8.0000000000001684E-3</v>
      </c>
      <c r="AG9" s="30" t="str">
        <f>IFERROR(IF('IND-02'!F41="","",'IND-02'!F41),"")</f>
        <v/>
      </c>
      <c r="AH9" s="30" t="str">
        <f>IFERROR(IF('IND-02'!F42="","",'IND-02'!F42),"")</f>
        <v/>
      </c>
      <c r="AI9" s="30" t="str">
        <f>IFERROR(IF('IND-02'!F43="","",'IND-02'!F43),"")</f>
        <v/>
      </c>
      <c r="AJ9" s="30" t="str">
        <f>IFERROR(IF('IND-02'!F44="","",'IND-02'!F44),"")</f>
        <v/>
      </c>
      <c r="AK9" s="30" t="str">
        <f>IFERROR(IF('IND-02'!F45="","",'IND-02'!F45),"")</f>
        <v/>
      </c>
      <c r="AL9" s="30" t="str">
        <f>IFERROR(IF('IND-02'!F46="","",'IND-02'!F46),"")</f>
        <v/>
      </c>
      <c r="AM9" s="30" t="str">
        <f>IFERROR(IF('IND-02'!F47="","",'IND-02'!F47),"")</f>
        <v/>
      </c>
      <c r="AN9" s="30" t="str">
        <f>IFERROR(IF('IND-02'!F48="","",'IND-02'!F48),"")</f>
        <v/>
      </c>
      <c r="AO9" s="30" t="str">
        <f>IFERROR(IF('IND-02'!F49="","",'IND-02'!F49),"")</f>
        <v/>
      </c>
      <c r="AP9" s="30" t="str">
        <f>IFERROR(IF('IND-02'!F50="","",'IND-02'!F50),"")</f>
        <v/>
      </c>
      <c r="AQ9" s="30" t="str">
        <f>IFERROR(IF('IND-02'!F51="","",'IND-02'!F51),"")</f>
        <v/>
      </c>
      <c r="AR9" s="30" t="str">
        <f>IFERROR(IF('IND-02'!F52="","",'IND-02'!F52),"")</f>
        <v/>
      </c>
      <c r="AS9" s="30" t="str">
        <f>IFERROR(IF('IND-02'!F53="","",'IND-02'!F53),"")</f>
        <v/>
      </c>
      <c r="AT9" s="30" t="str">
        <f>IFERROR(IF('IND-02'!F54="","",'IND-02'!F54),"")</f>
        <v/>
      </c>
      <c r="AU9" s="30" t="str">
        <f>IFERROR(IF('IND-02'!F55="","",'IND-02'!F55),"")</f>
        <v/>
      </c>
      <c r="AV9" s="30" t="str">
        <f>IFERROR(IF('IND-02'!F56="","",'IND-02'!F56),"")</f>
        <v/>
      </c>
      <c r="AW9" s="30" t="str">
        <f>IFERROR(IF('IND-02'!F57="","",'IND-02'!F57),"")</f>
        <v/>
      </c>
      <c r="AX9" s="30" t="str">
        <f>IFERROR(IF('IND-02'!F58="","",'IND-02'!F58),"")</f>
        <v/>
      </c>
      <c r="AY9" s="30" t="str">
        <f>IFERROR(IF('IND-02'!F59="","",'IND-02'!F59),"")</f>
        <v/>
      </c>
      <c r="AZ9" s="30" t="str">
        <f>IFERROR(IF('IND-02'!F60="","",'IND-02'!F60),"")</f>
        <v/>
      </c>
      <c r="BA9" s="30" t="str">
        <f>IFERROR(IF('IND-02'!F61="","",'IND-02'!F61),"")</f>
        <v/>
      </c>
      <c r="BB9" s="30" t="str">
        <f>IFERROR(IF('IND-02'!F62="","",'IND-02'!F62),"")</f>
        <v/>
      </c>
      <c r="BC9" s="30" t="str">
        <f>IFERROR(IF('IND-02'!F63="","",'IND-02'!F63),"")</f>
        <v/>
      </c>
      <c r="BD9" s="30" t="str">
        <f>IFERROR(IF('IND-02'!F64="","",'IND-02'!F64),"")</f>
        <v/>
      </c>
      <c r="BE9" s="30" t="str">
        <f>IFERROR(IF('IND-02'!F65="","",'IND-02'!F65),"")</f>
        <v/>
      </c>
      <c r="BF9" s="30" t="str">
        <f>IFERROR(IF('IND-02'!F66="","",'IND-02'!F66),"")</f>
        <v/>
      </c>
      <c r="BG9" s="30" t="str">
        <f>IFERROR(IF('IND-02'!F67="","",'IND-02'!F67),"")</f>
        <v/>
      </c>
      <c r="BH9" s="30" t="str">
        <f>IFERROR(IF('IND-02'!F68="","",'IND-02'!F68),"")</f>
        <v/>
      </c>
      <c r="BI9" s="30" t="str">
        <f>IFERROR(IF('IND-02'!F69="","",'IND-02'!F69),"")</f>
        <v/>
      </c>
      <c r="BJ9" s="30" t="str">
        <f>IFERROR(IF('IND-02'!F70="","",'IND-02'!F70),"")</f>
        <v/>
      </c>
      <c r="BK9" s="30" t="str">
        <f>IFERROR(IF('IND-02'!F71="","",'IND-02'!F71),"")</f>
        <v/>
      </c>
      <c r="BL9" s="30" t="str">
        <f>IFERROR(IF('IND-02'!F72="","",'IND-02'!F72),"")</f>
        <v/>
      </c>
      <c r="BM9" s="30" t="str">
        <f>IFERROR(IF('IND-02'!F73="","",'IND-02'!F73),"")</f>
        <v/>
      </c>
      <c r="BN9" s="30" t="str">
        <f>IFERROR(IF('IND-02'!F74="","",'IND-02'!F74),"")</f>
        <v/>
      </c>
      <c r="BO9" s="30" t="str">
        <f>IFERROR(IF('IND-02'!F75="","",'IND-02'!F75),"")</f>
        <v/>
      </c>
      <c r="BP9" s="30" t="str">
        <f>IFERROR(IF('IND-02'!F76="","",'IND-02'!F76),"")</f>
        <v/>
      </c>
      <c r="BQ9" s="30" t="str">
        <f>IFERROR(IF('IND-02'!F77="","",'IND-02'!F77),"")</f>
        <v/>
      </c>
      <c r="BR9" s="30" t="str">
        <f>IFERROR(IF('IND-02'!F78="","",'IND-02'!F78),"")</f>
        <v/>
      </c>
      <c r="BS9" s="30" t="str">
        <f>IFERROR(IF('IND-02'!F79="","",'IND-02'!F79),"")</f>
        <v/>
      </c>
      <c r="BT9" s="30" t="str">
        <f>IFERROR(IF('IND-02'!F80="","",'IND-02'!F80),"")</f>
        <v/>
      </c>
      <c r="BU9" s="30" t="str">
        <f>IFERROR(IF('IND-02'!F81="","",'IND-02'!F81),"")</f>
        <v/>
      </c>
      <c r="BV9" s="30" t="str">
        <f>IFERROR(IF('IND-02'!F82="","",'IND-02'!F82),"")</f>
        <v/>
      </c>
      <c r="BW9" s="31">
        <f>IFERROR(AVERAGE('IND-02'!H23:H34),"")</f>
        <v>7.999999999999971E-2</v>
      </c>
      <c r="BX9" s="31">
        <f>IFERROR(AVERAGE('IND-02'!H35:H46),"")</f>
        <v>8.0000000000000807E-2</v>
      </c>
      <c r="BY9" s="31" t="str">
        <f>IFERROR(AVERAGE('IND-02'!H47:H58),"")</f>
        <v/>
      </c>
      <c r="BZ9" s="31" t="str">
        <f>IFERROR(AVERAGE('IND-02'!H59:H70),"")</f>
        <v/>
      </c>
      <c r="CA9" s="31" t="str">
        <f>IFERROR(AVERAGE('IND-02'!H71:H82),"")</f>
        <v/>
      </c>
      <c r="CB9" s="32" t="str">
        <f t="shared" si="0"/>
        <v>🔴 Crítico</v>
      </c>
    </row>
    <row r="10" spans="2:80" ht="37.5" customHeight="1" x14ac:dyDescent="0.35">
      <c r="B10" s="23" t="s">
        <v>36</v>
      </c>
      <c r="C10" s="24" t="s">
        <v>42</v>
      </c>
      <c r="D10" s="25" t="s">
        <v>143</v>
      </c>
      <c r="E10" s="25" t="s">
        <v>144</v>
      </c>
      <c r="F10" s="26" t="s">
        <v>139</v>
      </c>
      <c r="G10" s="27" t="s">
        <v>140</v>
      </c>
      <c r="H10" s="26" t="s">
        <v>38</v>
      </c>
      <c r="I10" s="28" t="str">
        <f>VLOOKUP("IND-03",Parámetros!$B$6:$F$30,5,FALSE())</f>
        <v>Cartera</v>
      </c>
      <c r="J10" s="29">
        <f>'IND-03'!C14</f>
        <v>3.5000000000000003E-2</v>
      </c>
      <c r="K10" s="29">
        <f>'IND-03'!C15</f>
        <v>3.5000000000000003E-2</v>
      </c>
      <c r="L10" s="29">
        <f>'IND-03'!C16</f>
        <v>3.5000000000000003E-2</v>
      </c>
      <c r="M10" s="29">
        <f>'IND-03'!C17</f>
        <v>3.5000000000000003E-2</v>
      </c>
      <c r="N10" s="29">
        <f>'IND-03'!C18</f>
        <v>3.5000000000000003E-2</v>
      </c>
      <c r="O10" s="30" t="str">
        <f>IFERROR(IF('IND-03'!F23="","",'IND-03'!F23),"")</f>
        <v/>
      </c>
      <c r="P10" s="30" t="str">
        <f>IFERROR(IF('IND-03'!F24="","",'IND-03'!F24),"")</f>
        <v/>
      </c>
      <c r="Q10" s="30" t="str">
        <f>IFERROR(IF('IND-03'!F25="","",'IND-03'!F25),"")</f>
        <v/>
      </c>
      <c r="R10" s="30" t="str">
        <f>IFERROR(IF('IND-03'!F26="","",'IND-03'!F26),"")</f>
        <v/>
      </c>
      <c r="S10" s="30" t="str">
        <f>IFERROR(IF('IND-03'!F27="","",'IND-03'!F27),"")</f>
        <v/>
      </c>
      <c r="T10" s="30" t="str">
        <f>IFERROR(IF('IND-03'!F28="","",'IND-03'!F28),"")</f>
        <v/>
      </c>
      <c r="U10" s="30" t="str">
        <f>IFERROR(IF('IND-03'!F29="","",'IND-03'!F29),"")</f>
        <v/>
      </c>
      <c r="V10" s="30" t="str">
        <f>IFERROR(IF('IND-03'!F30="","",'IND-03'!F30),"")</f>
        <v/>
      </c>
      <c r="W10" s="30" t="str">
        <f>IFERROR(IF('IND-03'!F31="","",'IND-03'!F31),"")</f>
        <v/>
      </c>
      <c r="X10" s="30" t="str">
        <f>IFERROR(IF('IND-03'!F32="","",'IND-03'!F32),"")</f>
        <v/>
      </c>
      <c r="Y10" s="30" t="str">
        <f>IFERROR(IF('IND-03'!F33="","",'IND-03'!F33),"")</f>
        <v/>
      </c>
      <c r="Z10" s="30" t="str">
        <f>IFERROR(IF('IND-03'!F34="","",'IND-03'!F34),"")</f>
        <v/>
      </c>
      <c r="AA10" s="30" t="str">
        <f>IFERROR(IF('IND-03'!F35="","",'IND-03'!F35),"")</f>
        <v/>
      </c>
      <c r="AB10" s="30" t="str">
        <f>IFERROR(IF('IND-03'!F36="","",'IND-03'!F36),"")</f>
        <v/>
      </c>
      <c r="AC10" s="30" t="str">
        <f>IFERROR(IF('IND-03'!F37="","",'IND-03'!F37),"")</f>
        <v/>
      </c>
      <c r="AD10" s="30" t="str">
        <f>IFERROR(IF('IND-03'!F38="","",'IND-03'!F38),"")</f>
        <v/>
      </c>
      <c r="AE10" s="30" t="str">
        <f>IFERROR(IF('IND-03'!F39="","",'IND-03'!F39),"")</f>
        <v/>
      </c>
      <c r="AF10" s="30" t="str">
        <f>IFERROR(IF('IND-03'!F40="","",'IND-03'!F40),"")</f>
        <v/>
      </c>
      <c r="AG10" s="30" t="str">
        <f>IFERROR(IF('IND-03'!F41="","",'IND-03'!F41),"")</f>
        <v/>
      </c>
      <c r="AH10" s="30" t="str">
        <f>IFERROR(IF('IND-03'!F42="","",'IND-03'!F42),"")</f>
        <v/>
      </c>
      <c r="AI10" s="30" t="str">
        <f>IFERROR(IF('IND-03'!F43="","",'IND-03'!F43),"")</f>
        <v/>
      </c>
      <c r="AJ10" s="30" t="str">
        <f>IFERROR(IF('IND-03'!F44="","",'IND-03'!F44),"")</f>
        <v/>
      </c>
      <c r="AK10" s="30" t="str">
        <f>IFERROR(IF('IND-03'!F45="","",'IND-03'!F45),"")</f>
        <v/>
      </c>
      <c r="AL10" s="30" t="str">
        <f>IFERROR(IF('IND-03'!F46="","",'IND-03'!F46),"")</f>
        <v/>
      </c>
      <c r="AM10" s="30" t="str">
        <f>IFERROR(IF('IND-03'!F47="","",'IND-03'!F47),"")</f>
        <v/>
      </c>
      <c r="AN10" s="30" t="str">
        <f>IFERROR(IF('IND-03'!F48="","",'IND-03'!F48),"")</f>
        <v/>
      </c>
      <c r="AO10" s="30" t="str">
        <f>IFERROR(IF('IND-03'!F49="","",'IND-03'!F49),"")</f>
        <v/>
      </c>
      <c r="AP10" s="30" t="str">
        <f>IFERROR(IF('IND-03'!F50="","",'IND-03'!F50),"")</f>
        <v/>
      </c>
      <c r="AQ10" s="30" t="str">
        <f>IFERROR(IF('IND-03'!F51="","",'IND-03'!F51),"")</f>
        <v/>
      </c>
      <c r="AR10" s="30" t="str">
        <f>IFERROR(IF('IND-03'!F52="","",'IND-03'!F52),"")</f>
        <v/>
      </c>
      <c r="AS10" s="30" t="str">
        <f>IFERROR(IF('IND-03'!F53="","",'IND-03'!F53),"")</f>
        <v/>
      </c>
      <c r="AT10" s="30" t="str">
        <f>IFERROR(IF('IND-03'!F54="","",'IND-03'!F54),"")</f>
        <v/>
      </c>
      <c r="AU10" s="30" t="str">
        <f>IFERROR(IF('IND-03'!F55="","",'IND-03'!F55),"")</f>
        <v/>
      </c>
      <c r="AV10" s="30" t="str">
        <f>IFERROR(IF('IND-03'!F56="","",'IND-03'!F56),"")</f>
        <v/>
      </c>
      <c r="AW10" s="30" t="str">
        <f>IFERROR(IF('IND-03'!F57="","",'IND-03'!F57),"")</f>
        <v/>
      </c>
      <c r="AX10" s="30" t="str">
        <f>IFERROR(IF('IND-03'!F58="","",'IND-03'!F58),"")</f>
        <v/>
      </c>
      <c r="AY10" s="30" t="str">
        <f>IFERROR(IF('IND-03'!F59="","",'IND-03'!F59),"")</f>
        <v/>
      </c>
      <c r="AZ10" s="30" t="str">
        <f>IFERROR(IF('IND-03'!F60="","",'IND-03'!F60),"")</f>
        <v/>
      </c>
      <c r="BA10" s="30" t="str">
        <f>IFERROR(IF('IND-03'!F61="","",'IND-03'!F61),"")</f>
        <v/>
      </c>
      <c r="BB10" s="30" t="str">
        <f>IFERROR(IF('IND-03'!F62="","",'IND-03'!F62),"")</f>
        <v/>
      </c>
      <c r="BC10" s="30" t="str">
        <f>IFERROR(IF('IND-03'!F63="","",'IND-03'!F63),"")</f>
        <v/>
      </c>
      <c r="BD10" s="30" t="str">
        <f>IFERROR(IF('IND-03'!F64="","",'IND-03'!F64),"")</f>
        <v/>
      </c>
      <c r="BE10" s="30" t="str">
        <f>IFERROR(IF('IND-03'!F65="","",'IND-03'!F65),"")</f>
        <v/>
      </c>
      <c r="BF10" s="30" t="str">
        <f>IFERROR(IF('IND-03'!F66="","",'IND-03'!F66),"")</f>
        <v/>
      </c>
      <c r="BG10" s="30" t="str">
        <f>IFERROR(IF('IND-03'!F67="","",'IND-03'!F67),"")</f>
        <v/>
      </c>
      <c r="BH10" s="30" t="str">
        <f>IFERROR(IF('IND-03'!F68="","",'IND-03'!F68),"")</f>
        <v/>
      </c>
      <c r="BI10" s="30" t="str">
        <f>IFERROR(IF('IND-03'!F69="","",'IND-03'!F69),"")</f>
        <v/>
      </c>
      <c r="BJ10" s="30" t="str">
        <f>IFERROR(IF('IND-03'!F70="","",'IND-03'!F70),"")</f>
        <v/>
      </c>
      <c r="BK10" s="30" t="str">
        <f>IFERROR(IF('IND-03'!F71="","",'IND-03'!F71),"")</f>
        <v/>
      </c>
      <c r="BL10" s="30" t="str">
        <f>IFERROR(IF('IND-03'!F72="","",'IND-03'!F72),"")</f>
        <v/>
      </c>
      <c r="BM10" s="30" t="str">
        <f>IFERROR(IF('IND-03'!F73="","",'IND-03'!F73),"")</f>
        <v/>
      </c>
      <c r="BN10" s="30" t="str">
        <f>IFERROR(IF('IND-03'!F74="","",'IND-03'!F74),"")</f>
        <v/>
      </c>
      <c r="BO10" s="30" t="str">
        <f>IFERROR(IF('IND-03'!F75="","",'IND-03'!F75),"")</f>
        <v/>
      </c>
      <c r="BP10" s="30" t="str">
        <f>IFERROR(IF('IND-03'!F76="","",'IND-03'!F76),"")</f>
        <v/>
      </c>
      <c r="BQ10" s="30" t="str">
        <f>IFERROR(IF('IND-03'!F77="","",'IND-03'!F77),"")</f>
        <v/>
      </c>
      <c r="BR10" s="30" t="str">
        <f>IFERROR(IF('IND-03'!F78="","",'IND-03'!F78),"")</f>
        <v/>
      </c>
      <c r="BS10" s="30" t="str">
        <f>IFERROR(IF('IND-03'!F79="","",'IND-03'!F79),"")</f>
        <v/>
      </c>
      <c r="BT10" s="30" t="str">
        <f>IFERROR(IF('IND-03'!F80="","",'IND-03'!F80),"")</f>
        <v/>
      </c>
      <c r="BU10" s="30" t="str">
        <f>IFERROR(IF('IND-03'!F81="","",'IND-03'!F81),"")</f>
        <v/>
      </c>
      <c r="BV10" s="30" t="str">
        <f>IFERROR(IF('IND-03'!F82="","",'IND-03'!F82),"")</f>
        <v/>
      </c>
      <c r="BW10" s="31" t="str">
        <f>IFERROR(AVERAGE('IND-03'!H23:H34),"")</f>
        <v/>
      </c>
      <c r="BX10" s="31" t="str">
        <f>IFERROR(AVERAGE('IND-03'!H35:H46),"")</f>
        <v/>
      </c>
      <c r="BY10" s="31" t="str">
        <f>IFERROR(AVERAGE('IND-03'!H47:H58),"")</f>
        <v/>
      </c>
      <c r="BZ10" s="31" t="str">
        <f>IFERROR(AVERAGE('IND-03'!H59:H70),"")</f>
        <v/>
      </c>
      <c r="CA10" s="31" t="str">
        <f>IFERROR(AVERAGE('IND-03'!H71:H82),"")</f>
        <v/>
      </c>
      <c r="CB10" s="32" t="str">
        <f t="shared" si="0"/>
        <v>⚪ Pendiente</v>
      </c>
    </row>
    <row r="11" spans="2:80" ht="37.5" customHeight="1" x14ac:dyDescent="0.35">
      <c r="B11" s="23" t="s">
        <v>36</v>
      </c>
      <c r="C11" s="24" t="s">
        <v>44</v>
      </c>
      <c r="D11" s="25" t="s">
        <v>145</v>
      </c>
      <c r="E11" s="25" t="s">
        <v>146</v>
      </c>
      <c r="F11" s="26" t="s">
        <v>147</v>
      </c>
      <c r="G11" s="27" t="s">
        <v>140</v>
      </c>
      <c r="H11" s="26" t="s">
        <v>38</v>
      </c>
      <c r="I11" s="28" t="str">
        <f>VLOOKUP("IND-04",Parámetros!$B$6:$F$30,5,FALSE())</f>
        <v>Tesorería</v>
      </c>
      <c r="J11" s="33">
        <f>'IND-04'!C14</f>
        <v>-200</v>
      </c>
      <c r="K11" s="33">
        <f>'IND-04'!C15</f>
        <v>-200</v>
      </c>
      <c r="L11" s="33">
        <f>'IND-04'!C16</f>
        <v>-200</v>
      </c>
      <c r="M11" s="33">
        <f>'IND-04'!C17</f>
        <v>-200</v>
      </c>
      <c r="N11" s="33">
        <f>'IND-04'!C18</f>
        <v>-200</v>
      </c>
      <c r="O11" s="34" t="str">
        <f>IFERROR(IF('IND-04'!G23="","",'IND-04'!G23),"")</f>
        <v/>
      </c>
      <c r="P11" s="34" t="str">
        <f>IFERROR(IF('IND-04'!G24="","",'IND-04'!G24),"")</f>
        <v/>
      </c>
      <c r="Q11" s="34" t="str">
        <f>IFERROR(IF('IND-04'!G25="","",'IND-04'!G25),"")</f>
        <v/>
      </c>
      <c r="R11" s="34" t="str">
        <f>IFERROR(IF('IND-04'!G26="","",'IND-04'!G26),"")</f>
        <v/>
      </c>
      <c r="S11" s="34" t="str">
        <f>IFERROR(IF('IND-04'!G27="","",'IND-04'!G27),"")</f>
        <v/>
      </c>
      <c r="T11" s="34" t="str">
        <f>IFERROR(IF('IND-04'!G28="","",'IND-04'!G28),"")</f>
        <v/>
      </c>
      <c r="U11" s="34" t="str">
        <f>IFERROR(IF('IND-04'!G29="","",'IND-04'!G29),"")</f>
        <v/>
      </c>
      <c r="V11" s="34" t="str">
        <f>IFERROR(IF('IND-04'!G30="","",'IND-04'!G30),"")</f>
        <v/>
      </c>
      <c r="W11" s="34" t="str">
        <f>IFERROR(IF('IND-04'!G31="","",'IND-04'!G31),"")</f>
        <v/>
      </c>
      <c r="X11" s="34" t="str">
        <f>IFERROR(IF('IND-04'!G32="","",'IND-04'!G32),"")</f>
        <v/>
      </c>
      <c r="Y11" s="34" t="str">
        <f>IFERROR(IF('IND-04'!G33="","",'IND-04'!G33),"")</f>
        <v/>
      </c>
      <c r="Z11" s="34" t="str">
        <f>IFERROR(IF('IND-04'!G34="","",'IND-04'!G34),"")</f>
        <v/>
      </c>
      <c r="AA11" s="34" t="str">
        <f>IFERROR(IF('IND-04'!G35="","",'IND-04'!G35),"")</f>
        <v/>
      </c>
      <c r="AB11" s="34" t="str">
        <f>IFERROR(IF('IND-04'!G36="","",'IND-04'!G36),"")</f>
        <v/>
      </c>
      <c r="AC11" s="34" t="str">
        <f>IFERROR(IF('IND-04'!G37="","",'IND-04'!G37),"")</f>
        <v/>
      </c>
      <c r="AD11" s="34" t="str">
        <f>IFERROR(IF('IND-04'!G38="","",'IND-04'!G38),"")</f>
        <v/>
      </c>
      <c r="AE11" s="34" t="str">
        <f>IFERROR(IF('IND-04'!G39="","",'IND-04'!G39),"")</f>
        <v/>
      </c>
      <c r="AF11" s="34" t="str">
        <f>IFERROR(IF('IND-04'!G40="","",'IND-04'!G40),"")</f>
        <v/>
      </c>
      <c r="AG11" s="34" t="str">
        <f>IFERROR(IF('IND-04'!G41="","",'IND-04'!G41),"")</f>
        <v/>
      </c>
      <c r="AH11" s="34" t="str">
        <f>IFERROR(IF('IND-04'!G42="","",'IND-04'!G42),"")</f>
        <v/>
      </c>
      <c r="AI11" s="34" t="str">
        <f>IFERROR(IF('IND-04'!G43="","",'IND-04'!G43),"")</f>
        <v/>
      </c>
      <c r="AJ11" s="34" t="str">
        <f>IFERROR(IF('IND-04'!G44="","",'IND-04'!G44),"")</f>
        <v/>
      </c>
      <c r="AK11" s="34" t="str">
        <f>IFERROR(IF('IND-04'!G45="","",'IND-04'!G45),"")</f>
        <v/>
      </c>
      <c r="AL11" s="34" t="str">
        <f>IFERROR(IF('IND-04'!G46="","",'IND-04'!G46),"")</f>
        <v/>
      </c>
      <c r="AM11" s="34" t="str">
        <f>IFERROR(IF('IND-04'!G47="","",'IND-04'!G47),"")</f>
        <v/>
      </c>
      <c r="AN11" s="34" t="str">
        <f>IFERROR(IF('IND-04'!G48="","",'IND-04'!G48),"")</f>
        <v/>
      </c>
      <c r="AO11" s="34" t="str">
        <f>IFERROR(IF('IND-04'!G49="","",'IND-04'!G49),"")</f>
        <v/>
      </c>
      <c r="AP11" s="34" t="str">
        <f>IFERROR(IF('IND-04'!G50="","",'IND-04'!G50),"")</f>
        <v/>
      </c>
      <c r="AQ11" s="34" t="str">
        <f>IFERROR(IF('IND-04'!G51="","",'IND-04'!G51),"")</f>
        <v/>
      </c>
      <c r="AR11" s="34" t="str">
        <f>IFERROR(IF('IND-04'!G52="","",'IND-04'!G52),"")</f>
        <v/>
      </c>
      <c r="AS11" s="34" t="str">
        <f>IFERROR(IF('IND-04'!G53="","",'IND-04'!G53),"")</f>
        <v/>
      </c>
      <c r="AT11" s="34" t="str">
        <f>IFERROR(IF('IND-04'!G54="","",'IND-04'!G54),"")</f>
        <v/>
      </c>
      <c r="AU11" s="34" t="str">
        <f>IFERROR(IF('IND-04'!G55="","",'IND-04'!G55),"")</f>
        <v/>
      </c>
      <c r="AV11" s="34" t="str">
        <f>IFERROR(IF('IND-04'!G56="","",'IND-04'!G56),"")</f>
        <v/>
      </c>
      <c r="AW11" s="34" t="str">
        <f>IFERROR(IF('IND-04'!G57="","",'IND-04'!G57),"")</f>
        <v/>
      </c>
      <c r="AX11" s="34" t="str">
        <f>IFERROR(IF('IND-04'!G58="","",'IND-04'!G58),"")</f>
        <v/>
      </c>
      <c r="AY11" s="34" t="str">
        <f>IFERROR(IF('IND-04'!G59="","",'IND-04'!G59),"")</f>
        <v/>
      </c>
      <c r="AZ11" s="34" t="str">
        <f>IFERROR(IF('IND-04'!G60="","",'IND-04'!G60),"")</f>
        <v/>
      </c>
      <c r="BA11" s="34" t="str">
        <f>IFERROR(IF('IND-04'!G61="","",'IND-04'!G61),"")</f>
        <v/>
      </c>
      <c r="BB11" s="34" t="str">
        <f>IFERROR(IF('IND-04'!G62="","",'IND-04'!G62),"")</f>
        <v/>
      </c>
      <c r="BC11" s="34" t="str">
        <f>IFERROR(IF('IND-04'!G63="","",'IND-04'!G63),"")</f>
        <v/>
      </c>
      <c r="BD11" s="34" t="str">
        <f>IFERROR(IF('IND-04'!G64="","",'IND-04'!G64),"")</f>
        <v/>
      </c>
      <c r="BE11" s="34" t="str">
        <f>IFERROR(IF('IND-04'!G65="","",'IND-04'!G65),"")</f>
        <v/>
      </c>
      <c r="BF11" s="34" t="str">
        <f>IFERROR(IF('IND-04'!G66="","",'IND-04'!G66),"")</f>
        <v/>
      </c>
      <c r="BG11" s="34" t="str">
        <f>IFERROR(IF('IND-04'!G67="","",'IND-04'!G67),"")</f>
        <v/>
      </c>
      <c r="BH11" s="34" t="str">
        <f>IFERROR(IF('IND-04'!G68="","",'IND-04'!G68),"")</f>
        <v/>
      </c>
      <c r="BI11" s="34" t="str">
        <f>IFERROR(IF('IND-04'!G69="","",'IND-04'!G69),"")</f>
        <v/>
      </c>
      <c r="BJ11" s="34" t="str">
        <f>IFERROR(IF('IND-04'!G70="","",'IND-04'!G70),"")</f>
        <v/>
      </c>
      <c r="BK11" s="34" t="str">
        <f>IFERROR(IF('IND-04'!G71="","",'IND-04'!G71),"")</f>
        <v/>
      </c>
      <c r="BL11" s="34" t="str">
        <f>IFERROR(IF('IND-04'!G72="","",'IND-04'!G72),"")</f>
        <v/>
      </c>
      <c r="BM11" s="34" t="str">
        <f>IFERROR(IF('IND-04'!G73="","",'IND-04'!G73),"")</f>
        <v/>
      </c>
      <c r="BN11" s="34" t="str">
        <f>IFERROR(IF('IND-04'!G74="","",'IND-04'!G74),"")</f>
        <v/>
      </c>
      <c r="BO11" s="34" t="str">
        <f>IFERROR(IF('IND-04'!G75="","",'IND-04'!G75),"")</f>
        <v/>
      </c>
      <c r="BP11" s="34" t="str">
        <f>IFERROR(IF('IND-04'!G76="","",'IND-04'!G76),"")</f>
        <v/>
      </c>
      <c r="BQ11" s="34" t="str">
        <f>IFERROR(IF('IND-04'!G77="","",'IND-04'!G77),"")</f>
        <v/>
      </c>
      <c r="BR11" s="34" t="str">
        <f>IFERROR(IF('IND-04'!G78="","",'IND-04'!G78),"")</f>
        <v/>
      </c>
      <c r="BS11" s="34" t="str">
        <f>IFERROR(IF('IND-04'!G79="","",'IND-04'!G79),"")</f>
        <v/>
      </c>
      <c r="BT11" s="34" t="str">
        <f>IFERROR(IF('IND-04'!G80="","",'IND-04'!G80),"")</f>
        <v/>
      </c>
      <c r="BU11" s="34" t="str">
        <f>IFERROR(IF('IND-04'!G81="","",'IND-04'!G81),"")</f>
        <v/>
      </c>
      <c r="BV11" s="34" t="str">
        <f>IFERROR(IF('IND-04'!G82="","",'IND-04'!G82),"")</f>
        <v/>
      </c>
      <c r="BW11" s="31" t="str">
        <f>IFERROR(AVERAGE('IND-04'!I23:I34),"")</f>
        <v/>
      </c>
      <c r="BX11" s="31" t="str">
        <f>IFERROR(AVERAGE('IND-04'!I35:I46),"")</f>
        <v/>
      </c>
      <c r="BY11" s="31" t="str">
        <f>IFERROR(AVERAGE('IND-04'!I47:I58),"")</f>
        <v/>
      </c>
      <c r="BZ11" s="31" t="str">
        <f>IFERROR(AVERAGE('IND-04'!I59:I70),"")</f>
        <v/>
      </c>
      <c r="CA11" s="31" t="str">
        <f>IFERROR(AVERAGE('IND-04'!I71:I82),"")</f>
        <v/>
      </c>
      <c r="CB11" s="32" t="str">
        <f t="shared" si="0"/>
        <v>⚪ Pendiente</v>
      </c>
    </row>
    <row r="12" spans="2:80" ht="37.5" customHeight="1" x14ac:dyDescent="0.35">
      <c r="B12" s="23" t="s">
        <v>46</v>
      </c>
      <c r="C12" s="24" t="s">
        <v>47</v>
      </c>
      <c r="D12" s="25" t="s">
        <v>148</v>
      </c>
      <c r="E12" s="25" t="s">
        <v>149</v>
      </c>
      <c r="F12" s="26" t="s">
        <v>139</v>
      </c>
      <c r="G12" s="27" t="s">
        <v>150</v>
      </c>
      <c r="H12" s="26" t="s">
        <v>38</v>
      </c>
      <c r="I12" s="28" t="str">
        <f>VLOOKUP("IND-05",Parámetros!$B$6:$F$30,5,FALSE())</f>
        <v>Cartera</v>
      </c>
      <c r="J12" s="29">
        <f>'IND-05'!C14</f>
        <v>0.05</v>
      </c>
      <c r="K12" s="29">
        <f>'IND-05'!C15</f>
        <v>0.05</v>
      </c>
      <c r="L12" s="29">
        <f>'IND-05'!C16</f>
        <v>0.05</v>
      </c>
      <c r="M12" s="29">
        <f>'IND-05'!C17</f>
        <v>0.05</v>
      </c>
      <c r="N12" s="29">
        <f>'IND-05'!C18</f>
        <v>0.05</v>
      </c>
      <c r="O12" s="30">
        <f>IFERROR(IF('IND-05'!G23="","",'IND-05'!G23),"")</f>
        <v>4.4999999999999998E-2</v>
      </c>
      <c r="P12" s="30">
        <f>IFERROR(IF('IND-05'!G24="","",'IND-05'!G24),"")</f>
        <v>4.5999999999999999E-2</v>
      </c>
      <c r="Q12" s="30">
        <f>IFERROR(IF('IND-05'!G25="","",'IND-05'!G25),"")</f>
        <v>4.7E-2</v>
      </c>
      <c r="R12" s="30">
        <f>IFERROR(IF('IND-05'!G26="","",'IND-05'!G26),"")</f>
        <v>4.8000000000000001E-2</v>
      </c>
      <c r="S12" s="30">
        <f>IFERROR(IF('IND-05'!G27="","",'IND-05'!G27),"")</f>
        <v>4.9000000000000002E-2</v>
      </c>
      <c r="T12" s="30">
        <f>IFERROR(IF('IND-05'!G28="","",'IND-05'!G28),"")</f>
        <v>0.05</v>
      </c>
      <c r="U12" s="30">
        <f>IFERROR(IF('IND-05'!G29="","",'IND-05'!G29),"")</f>
        <v>5.0999999999999997E-2</v>
      </c>
      <c r="V12" s="30">
        <f>IFERROR(IF('IND-05'!G30="","",'IND-05'!G30),"")</f>
        <v>5.1999999999999998E-2</v>
      </c>
      <c r="W12" s="30">
        <f>IFERROR(IF('IND-05'!G31="","",'IND-05'!G31),"")</f>
        <v>5.2999999999999999E-2</v>
      </c>
      <c r="X12" s="30">
        <f>IFERROR(IF('IND-05'!G32="","",'IND-05'!G32),"")</f>
        <v>5.3999999999999999E-2</v>
      </c>
      <c r="Y12" s="30">
        <f>IFERROR(IF('IND-05'!G33="","",'IND-05'!G33),"")</f>
        <v>5.5E-2</v>
      </c>
      <c r="Z12" s="30">
        <f>IFERROR(IF('IND-05'!G34="","",'IND-05'!G34),"")</f>
        <v>5.6000000000000001E-2</v>
      </c>
      <c r="AA12" s="30">
        <f>IFERROR(IF('IND-05'!G35="","",'IND-05'!G35),"")</f>
        <v>0.1</v>
      </c>
      <c r="AB12" s="30">
        <f>IFERROR(IF('IND-05'!G36="","",'IND-05'!G36),"")</f>
        <v>0.1</v>
      </c>
      <c r="AC12" s="30">
        <f>IFERROR(IF('IND-05'!G37="","",'IND-05'!G37),"")</f>
        <v>0.1</v>
      </c>
      <c r="AD12" s="30" t="str">
        <f>IFERROR(IF('IND-05'!G38="","",'IND-05'!G38),"")</f>
        <v/>
      </c>
      <c r="AE12" s="30" t="str">
        <f>IFERROR(IF('IND-05'!G39="","",'IND-05'!G39),"")</f>
        <v/>
      </c>
      <c r="AF12" s="30" t="str">
        <f>IFERROR(IF('IND-05'!G40="","",'IND-05'!G40),"")</f>
        <v/>
      </c>
      <c r="AG12" s="30" t="str">
        <f>IFERROR(IF('IND-05'!G41="","",'IND-05'!G41),"")</f>
        <v/>
      </c>
      <c r="AH12" s="30" t="str">
        <f>IFERROR(IF('IND-05'!G42="","",'IND-05'!G42),"")</f>
        <v/>
      </c>
      <c r="AI12" s="30" t="str">
        <f>IFERROR(IF('IND-05'!G43="","",'IND-05'!G43),"")</f>
        <v/>
      </c>
      <c r="AJ12" s="30" t="str">
        <f>IFERROR(IF('IND-05'!G44="","",'IND-05'!G44),"")</f>
        <v/>
      </c>
      <c r="AK12" s="30" t="str">
        <f>IFERROR(IF('IND-05'!G45="","",'IND-05'!G45),"")</f>
        <v/>
      </c>
      <c r="AL12" s="30" t="str">
        <f>IFERROR(IF('IND-05'!G46="","",'IND-05'!G46),"")</f>
        <v/>
      </c>
      <c r="AM12" s="30" t="str">
        <f>IFERROR(IF('IND-05'!G47="","",'IND-05'!G47),"")</f>
        <v/>
      </c>
      <c r="AN12" s="30" t="str">
        <f>IFERROR(IF('IND-05'!G48="","",'IND-05'!G48),"")</f>
        <v/>
      </c>
      <c r="AO12" s="30" t="str">
        <f>IFERROR(IF('IND-05'!G49="","",'IND-05'!G49),"")</f>
        <v/>
      </c>
      <c r="AP12" s="30" t="str">
        <f>IFERROR(IF('IND-05'!G50="","",'IND-05'!G50),"")</f>
        <v/>
      </c>
      <c r="AQ12" s="30" t="str">
        <f>IFERROR(IF('IND-05'!G51="","",'IND-05'!G51),"")</f>
        <v/>
      </c>
      <c r="AR12" s="30" t="str">
        <f>IFERROR(IF('IND-05'!G52="","",'IND-05'!G52),"")</f>
        <v/>
      </c>
      <c r="AS12" s="30" t="str">
        <f>IFERROR(IF('IND-05'!G53="","",'IND-05'!G53),"")</f>
        <v/>
      </c>
      <c r="AT12" s="30" t="str">
        <f>IFERROR(IF('IND-05'!G54="","",'IND-05'!G54),"")</f>
        <v/>
      </c>
      <c r="AU12" s="30" t="str">
        <f>IFERROR(IF('IND-05'!G55="","",'IND-05'!G55),"")</f>
        <v/>
      </c>
      <c r="AV12" s="30" t="str">
        <f>IFERROR(IF('IND-05'!G56="","",'IND-05'!G56),"")</f>
        <v/>
      </c>
      <c r="AW12" s="30" t="str">
        <f>IFERROR(IF('IND-05'!G57="","",'IND-05'!G57),"")</f>
        <v/>
      </c>
      <c r="AX12" s="30" t="str">
        <f>IFERROR(IF('IND-05'!G58="","",'IND-05'!G58),"")</f>
        <v/>
      </c>
      <c r="AY12" s="30" t="str">
        <f>IFERROR(IF('IND-05'!G59="","",'IND-05'!G59),"")</f>
        <v/>
      </c>
      <c r="AZ12" s="30" t="str">
        <f>IFERROR(IF('IND-05'!G60="","",'IND-05'!G60),"")</f>
        <v/>
      </c>
      <c r="BA12" s="30" t="str">
        <f>IFERROR(IF('IND-05'!G61="","",'IND-05'!G61),"")</f>
        <v/>
      </c>
      <c r="BB12" s="30" t="str">
        <f>IFERROR(IF('IND-05'!G62="","",'IND-05'!G62),"")</f>
        <v/>
      </c>
      <c r="BC12" s="30" t="str">
        <f>IFERROR(IF('IND-05'!G63="","",'IND-05'!G63),"")</f>
        <v/>
      </c>
      <c r="BD12" s="30" t="str">
        <f>IFERROR(IF('IND-05'!G64="","",'IND-05'!G64),"")</f>
        <v/>
      </c>
      <c r="BE12" s="30" t="str">
        <f>IFERROR(IF('IND-05'!G65="","",'IND-05'!G65),"")</f>
        <v/>
      </c>
      <c r="BF12" s="30" t="str">
        <f>IFERROR(IF('IND-05'!G66="","",'IND-05'!G66),"")</f>
        <v/>
      </c>
      <c r="BG12" s="30" t="str">
        <f>IFERROR(IF('IND-05'!G67="","",'IND-05'!G67),"")</f>
        <v/>
      </c>
      <c r="BH12" s="30" t="str">
        <f>IFERROR(IF('IND-05'!G68="","",'IND-05'!G68),"")</f>
        <v/>
      </c>
      <c r="BI12" s="30" t="str">
        <f>IFERROR(IF('IND-05'!G69="","",'IND-05'!G69),"")</f>
        <v/>
      </c>
      <c r="BJ12" s="30" t="str">
        <f>IFERROR(IF('IND-05'!G70="","",'IND-05'!G70),"")</f>
        <v/>
      </c>
      <c r="BK12" s="30" t="str">
        <f>IFERROR(IF('IND-05'!G71="","",'IND-05'!G71),"")</f>
        <v/>
      </c>
      <c r="BL12" s="30" t="str">
        <f>IFERROR(IF('IND-05'!G72="","",'IND-05'!G72),"")</f>
        <v/>
      </c>
      <c r="BM12" s="30" t="str">
        <f>IFERROR(IF('IND-05'!G73="","",'IND-05'!G73),"")</f>
        <v/>
      </c>
      <c r="BN12" s="30" t="str">
        <f>IFERROR(IF('IND-05'!G74="","",'IND-05'!G74),"")</f>
        <v/>
      </c>
      <c r="BO12" s="30" t="str">
        <f>IFERROR(IF('IND-05'!G75="","",'IND-05'!G75),"")</f>
        <v/>
      </c>
      <c r="BP12" s="30" t="str">
        <f>IFERROR(IF('IND-05'!G76="","",'IND-05'!G76),"")</f>
        <v/>
      </c>
      <c r="BQ12" s="30" t="str">
        <f>IFERROR(IF('IND-05'!G77="","",'IND-05'!G77),"")</f>
        <v/>
      </c>
      <c r="BR12" s="30" t="str">
        <f>IFERROR(IF('IND-05'!G78="","",'IND-05'!G78),"")</f>
        <v/>
      </c>
      <c r="BS12" s="30" t="str">
        <f>IFERROR(IF('IND-05'!G79="","",'IND-05'!G79),"")</f>
        <v/>
      </c>
      <c r="BT12" s="30" t="str">
        <f>IFERROR(IF('IND-05'!G80="","",'IND-05'!G80),"")</f>
        <v/>
      </c>
      <c r="BU12" s="30" t="str">
        <f>IFERROR(IF('IND-05'!G81="","",'IND-05'!G81),"")</f>
        <v/>
      </c>
      <c r="BV12" s="30" t="str">
        <f>IFERROR(IF('IND-05'!G82="","",'IND-05'!G82),"")</f>
        <v/>
      </c>
      <c r="BW12" s="31">
        <f>IFERROR(AVERAGE('IND-05'!I23:I34),"")</f>
        <v>0.99476442272554466</v>
      </c>
      <c r="BX12" s="31">
        <f>IFERROR(AVERAGE('IND-05'!I35:I46),"")</f>
        <v>0.5</v>
      </c>
      <c r="BY12" s="31" t="str">
        <f>IFERROR(AVERAGE('IND-05'!I47:I58),"")</f>
        <v/>
      </c>
      <c r="BZ12" s="31" t="str">
        <f>IFERROR(AVERAGE('IND-05'!I59:I70),"")</f>
        <v/>
      </c>
      <c r="CA12" s="31" t="str">
        <f>IFERROR(AVERAGE('IND-05'!I71:I82),"")</f>
        <v/>
      </c>
      <c r="CB12" s="32" t="str">
        <f t="shared" si="0"/>
        <v>🔴 Crítico</v>
      </c>
    </row>
    <row r="13" spans="2:80" ht="37.5" customHeight="1" x14ac:dyDescent="0.35">
      <c r="B13" s="23" t="s">
        <v>46</v>
      </c>
      <c r="C13" s="24" t="s">
        <v>49</v>
      </c>
      <c r="D13" s="25" t="s">
        <v>151</v>
      </c>
      <c r="E13" s="25" t="s">
        <v>152</v>
      </c>
      <c r="F13" s="26" t="s">
        <v>139</v>
      </c>
      <c r="G13" s="27" t="s">
        <v>140</v>
      </c>
      <c r="H13" s="26" t="s">
        <v>38</v>
      </c>
      <c r="I13" s="28" t="str">
        <f>VLOOKUP("IND-06",Parámetros!$B$6:$F$30,5,FALSE())</f>
        <v>Por definir</v>
      </c>
      <c r="J13" s="29">
        <f>'IND-06'!C14</f>
        <v>0.3</v>
      </c>
      <c r="K13" s="29">
        <f>'IND-06'!C15</f>
        <v>0.3</v>
      </c>
      <c r="L13" s="29">
        <f>'IND-06'!C16</f>
        <v>0.3</v>
      </c>
      <c r="M13" s="29">
        <f>'IND-06'!C17</f>
        <v>0.3</v>
      </c>
      <c r="N13" s="29">
        <f>'IND-06'!C18</f>
        <v>0.3</v>
      </c>
      <c r="O13" s="30" t="str">
        <f>IFERROR(IF('IND-06'!G23="","",'IND-06'!G23),"")</f>
        <v/>
      </c>
      <c r="P13" s="30" t="str">
        <f>IFERROR(IF('IND-06'!G24="","",'IND-06'!G24),"")</f>
        <v/>
      </c>
      <c r="Q13" s="30" t="str">
        <f>IFERROR(IF('IND-06'!G25="","",'IND-06'!G25),"")</f>
        <v/>
      </c>
      <c r="R13" s="30" t="str">
        <f>IFERROR(IF('IND-06'!G26="","",'IND-06'!G26),"")</f>
        <v/>
      </c>
      <c r="S13" s="30" t="str">
        <f>IFERROR(IF('IND-06'!G27="","",'IND-06'!G27),"")</f>
        <v/>
      </c>
      <c r="T13" s="30" t="str">
        <f>IFERROR(IF('IND-06'!G28="","",'IND-06'!G28),"")</f>
        <v/>
      </c>
      <c r="U13" s="30" t="str">
        <f>IFERROR(IF('IND-06'!G29="","",'IND-06'!G29),"")</f>
        <v/>
      </c>
      <c r="V13" s="30" t="str">
        <f>IFERROR(IF('IND-06'!G30="","",'IND-06'!G30),"")</f>
        <v/>
      </c>
      <c r="W13" s="30" t="str">
        <f>IFERROR(IF('IND-06'!G31="","",'IND-06'!G31),"")</f>
        <v/>
      </c>
      <c r="X13" s="30" t="str">
        <f>IFERROR(IF('IND-06'!G32="","",'IND-06'!G32),"")</f>
        <v/>
      </c>
      <c r="Y13" s="30" t="str">
        <f>IFERROR(IF('IND-06'!G33="","",'IND-06'!G33),"")</f>
        <v/>
      </c>
      <c r="Z13" s="30" t="str">
        <f>IFERROR(IF('IND-06'!G34="","",'IND-06'!G34),"")</f>
        <v/>
      </c>
      <c r="AA13" s="30" t="str">
        <f>IFERROR(IF('IND-06'!G35="","",'IND-06'!G35),"")</f>
        <v/>
      </c>
      <c r="AB13" s="30" t="str">
        <f>IFERROR(IF('IND-06'!G36="","",'IND-06'!G36),"")</f>
        <v/>
      </c>
      <c r="AC13" s="30" t="str">
        <f>IFERROR(IF('IND-06'!G37="","",'IND-06'!G37),"")</f>
        <v/>
      </c>
      <c r="AD13" s="30" t="str">
        <f>IFERROR(IF('IND-06'!G38="","",'IND-06'!G38),"")</f>
        <v/>
      </c>
      <c r="AE13" s="30" t="str">
        <f>IFERROR(IF('IND-06'!G39="","",'IND-06'!G39),"")</f>
        <v/>
      </c>
      <c r="AF13" s="30" t="str">
        <f>IFERROR(IF('IND-06'!G40="","",'IND-06'!G40),"")</f>
        <v/>
      </c>
      <c r="AG13" s="30" t="str">
        <f>IFERROR(IF('IND-06'!G41="","",'IND-06'!G41),"")</f>
        <v/>
      </c>
      <c r="AH13" s="30" t="str">
        <f>IFERROR(IF('IND-06'!G42="","",'IND-06'!G42),"")</f>
        <v/>
      </c>
      <c r="AI13" s="30" t="str">
        <f>IFERROR(IF('IND-06'!G43="","",'IND-06'!G43),"")</f>
        <v/>
      </c>
      <c r="AJ13" s="30" t="str">
        <f>IFERROR(IF('IND-06'!G44="","",'IND-06'!G44),"")</f>
        <v/>
      </c>
      <c r="AK13" s="30" t="str">
        <f>IFERROR(IF('IND-06'!G45="","",'IND-06'!G45),"")</f>
        <v/>
      </c>
      <c r="AL13" s="30" t="str">
        <f>IFERROR(IF('IND-06'!G46="","",'IND-06'!G46),"")</f>
        <v/>
      </c>
      <c r="AM13" s="30" t="str">
        <f>IFERROR(IF('IND-06'!G47="","",'IND-06'!G47),"")</f>
        <v/>
      </c>
      <c r="AN13" s="30" t="str">
        <f>IFERROR(IF('IND-06'!G48="","",'IND-06'!G48),"")</f>
        <v/>
      </c>
      <c r="AO13" s="30" t="str">
        <f>IFERROR(IF('IND-06'!G49="","",'IND-06'!G49),"")</f>
        <v/>
      </c>
      <c r="AP13" s="30" t="str">
        <f>IFERROR(IF('IND-06'!G50="","",'IND-06'!G50),"")</f>
        <v/>
      </c>
      <c r="AQ13" s="30" t="str">
        <f>IFERROR(IF('IND-06'!G51="","",'IND-06'!G51),"")</f>
        <v/>
      </c>
      <c r="AR13" s="30" t="str">
        <f>IFERROR(IF('IND-06'!G52="","",'IND-06'!G52),"")</f>
        <v/>
      </c>
      <c r="AS13" s="30" t="str">
        <f>IFERROR(IF('IND-06'!G53="","",'IND-06'!G53),"")</f>
        <v/>
      </c>
      <c r="AT13" s="30" t="str">
        <f>IFERROR(IF('IND-06'!G54="","",'IND-06'!G54),"")</f>
        <v/>
      </c>
      <c r="AU13" s="30" t="str">
        <f>IFERROR(IF('IND-06'!G55="","",'IND-06'!G55),"")</f>
        <v/>
      </c>
      <c r="AV13" s="30" t="str">
        <f>IFERROR(IF('IND-06'!G56="","",'IND-06'!G56),"")</f>
        <v/>
      </c>
      <c r="AW13" s="30" t="str">
        <f>IFERROR(IF('IND-06'!G57="","",'IND-06'!G57),"")</f>
        <v/>
      </c>
      <c r="AX13" s="30" t="str">
        <f>IFERROR(IF('IND-06'!G58="","",'IND-06'!G58),"")</f>
        <v/>
      </c>
      <c r="AY13" s="30" t="str">
        <f>IFERROR(IF('IND-06'!G59="","",'IND-06'!G59),"")</f>
        <v/>
      </c>
      <c r="AZ13" s="30" t="str">
        <f>IFERROR(IF('IND-06'!G60="","",'IND-06'!G60),"")</f>
        <v/>
      </c>
      <c r="BA13" s="30" t="str">
        <f>IFERROR(IF('IND-06'!G61="","",'IND-06'!G61),"")</f>
        <v/>
      </c>
      <c r="BB13" s="30" t="str">
        <f>IFERROR(IF('IND-06'!G62="","",'IND-06'!G62),"")</f>
        <v/>
      </c>
      <c r="BC13" s="30" t="str">
        <f>IFERROR(IF('IND-06'!G63="","",'IND-06'!G63),"")</f>
        <v/>
      </c>
      <c r="BD13" s="30" t="str">
        <f>IFERROR(IF('IND-06'!G64="","",'IND-06'!G64),"")</f>
        <v/>
      </c>
      <c r="BE13" s="30" t="str">
        <f>IFERROR(IF('IND-06'!G65="","",'IND-06'!G65),"")</f>
        <v/>
      </c>
      <c r="BF13" s="30" t="str">
        <f>IFERROR(IF('IND-06'!G66="","",'IND-06'!G66),"")</f>
        <v/>
      </c>
      <c r="BG13" s="30" t="str">
        <f>IFERROR(IF('IND-06'!G67="","",'IND-06'!G67),"")</f>
        <v/>
      </c>
      <c r="BH13" s="30" t="str">
        <f>IFERROR(IF('IND-06'!G68="","",'IND-06'!G68),"")</f>
        <v/>
      </c>
      <c r="BI13" s="30" t="str">
        <f>IFERROR(IF('IND-06'!G69="","",'IND-06'!G69),"")</f>
        <v/>
      </c>
      <c r="BJ13" s="30" t="str">
        <f>IFERROR(IF('IND-06'!G70="","",'IND-06'!G70),"")</f>
        <v/>
      </c>
      <c r="BK13" s="30" t="str">
        <f>IFERROR(IF('IND-06'!G71="","",'IND-06'!G71),"")</f>
        <v/>
      </c>
      <c r="BL13" s="30" t="str">
        <f>IFERROR(IF('IND-06'!G72="","",'IND-06'!G72),"")</f>
        <v/>
      </c>
      <c r="BM13" s="30" t="str">
        <f>IFERROR(IF('IND-06'!G73="","",'IND-06'!G73),"")</f>
        <v/>
      </c>
      <c r="BN13" s="30" t="str">
        <f>IFERROR(IF('IND-06'!G74="","",'IND-06'!G74),"")</f>
        <v/>
      </c>
      <c r="BO13" s="30" t="str">
        <f>IFERROR(IF('IND-06'!G75="","",'IND-06'!G75),"")</f>
        <v/>
      </c>
      <c r="BP13" s="30" t="str">
        <f>IFERROR(IF('IND-06'!G76="","",'IND-06'!G76),"")</f>
        <v/>
      </c>
      <c r="BQ13" s="30" t="str">
        <f>IFERROR(IF('IND-06'!G77="","",'IND-06'!G77),"")</f>
        <v/>
      </c>
      <c r="BR13" s="30" t="str">
        <f>IFERROR(IF('IND-06'!G78="","",'IND-06'!G78),"")</f>
        <v/>
      </c>
      <c r="BS13" s="30" t="str">
        <f>IFERROR(IF('IND-06'!G79="","",'IND-06'!G79),"")</f>
        <v/>
      </c>
      <c r="BT13" s="30" t="str">
        <f>IFERROR(IF('IND-06'!G80="","",'IND-06'!G80),"")</f>
        <v/>
      </c>
      <c r="BU13" s="30" t="str">
        <f>IFERROR(IF('IND-06'!G81="","",'IND-06'!G81),"")</f>
        <v/>
      </c>
      <c r="BV13" s="30" t="str">
        <f>IFERROR(IF('IND-06'!G82="","",'IND-06'!G82),"")</f>
        <v/>
      </c>
      <c r="BW13" s="31" t="str">
        <f>IFERROR(AVERAGE('IND-06'!I23:I34),"")</f>
        <v/>
      </c>
      <c r="BX13" s="31" t="str">
        <f>IFERROR(AVERAGE('IND-06'!I35:I46),"")</f>
        <v/>
      </c>
      <c r="BY13" s="31" t="str">
        <f>IFERROR(AVERAGE('IND-06'!I47:I58),"")</f>
        <v/>
      </c>
      <c r="BZ13" s="31" t="str">
        <f>IFERROR(AVERAGE('IND-06'!I59:I70),"")</f>
        <v/>
      </c>
      <c r="CA13" s="31" t="str">
        <f>IFERROR(AVERAGE('IND-06'!I71:I82),"")</f>
        <v/>
      </c>
      <c r="CB13" s="32" t="str">
        <f t="shared" si="0"/>
        <v>⚪ Pendiente</v>
      </c>
    </row>
    <row r="14" spans="2:80" ht="37.5" customHeight="1" x14ac:dyDescent="0.35">
      <c r="B14" s="23" t="s">
        <v>46</v>
      </c>
      <c r="C14" s="24" t="s">
        <v>51</v>
      </c>
      <c r="D14" s="25" t="s">
        <v>153</v>
      </c>
      <c r="E14" s="25" t="s">
        <v>154</v>
      </c>
      <c r="F14" s="26" t="s">
        <v>139</v>
      </c>
      <c r="G14" s="27" t="s">
        <v>140</v>
      </c>
      <c r="H14" s="26" t="s">
        <v>38</v>
      </c>
      <c r="I14" s="28" t="str">
        <f>VLOOKUP("IND-07",Parámetros!$B$6:$F$30,5,FALSE())</f>
        <v>Por definir</v>
      </c>
      <c r="J14" s="29">
        <f>'IND-07'!C14</f>
        <v>0.8</v>
      </c>
      <c r="K14" s="29">
        <f>'IND-07'!C15</f>
        <v>0.8</v>
      </c>
      <c r="L14" s="29">
        <f>'IND-07'!C16</f>
        <v>0.8</v>
      </c>
      <c r="M14" s="29">
        <f>'IND-07'!C17</f>
        <v>0.8</v>
      </c>
      <c r="N14" s="29">
        <f>'IND-07'!C18</f>
        <v>0.8</v>
      </c>
      <c r="O14" s="30" t="str">
        <f>IFERROR(IF('IND-07'!G23="","",'IND-07'!G23),"")</f>
        <v/>
      </c>
      <c r="P14" s="30" t="str">
        <f>IFERROR(IF('IND-07'!G24="","",'IND-07'!G24),"")</f>
        <v/>
      </c>
      <c r="Q14" s="30" t="str">
        <f>IFERROR(IF('IND-07'!G25="","",'IND-07'!G25),"")</f>
        <v/>
      </c>
      <c r="R14" s="30" t="str">
        <f>IFERROR(IF('IND-07'!G26="","",'IND-07'!G26),"")</f>
        <v/>
      </c>
      <c r="S14" s="30" t="str">
        <f>IFERROR(IF('IND-07'!G27="","",'IND-07'!G27),"")</f>
        <v/>
      </c>
      <c r="T14" s="30" t="str">
        <f>IFERROR(IF('IND-07'!G28="","",'IND-07'!G28),"")</f>
        <v/>
      </c>
      <c r="U14" s="30" t="str">
        <f>IFERROR(IF('IND-07'!G29="","",'IND-07'!G29),"")</f>
        <v/>
      </c>
      <c r="V14" s="30" t="str">
        <f>IFERROR(IF('IND-07'!G30="","",'IND-07'!G30),"")</f>
        <v/>
      </c>
      <c r="W14" s="30" t="str">
        <f>IFERROR(IF('IND-07'!G31="","",'IND-07'!G31),"")</f>
        <v/>
      </c>
      <c r="X14" s="30" t="str">
        <f>IFERROR(IF('IND-07'!G32="","",'IND-07'!G32),"")</f>
        <v/>
      </c>
      <c r="Y14" s="30" t="str">
        <f>IFERROR(IF('IND-07'!G33="","",'IND-07'!G33),"")</f>
        <v/>
      </c>
      <c r="Z14" s="30" t="str">
        <f>IFERROR(IF('IND-07'!G34="","",'IND-07'!G34),"")</f>
        <v/>
      </c>
      <c r="AA14" s="30" t="str">
        <f>IFERROR(IF('IND-07'!G35="","",'IND-07'!G35),"")</f>
        <v/>
      </c>
      <c r="AB14" s="30" t="str">
        <f>IFERROR(IF('IND-07'!G36="","",'IND-07'!G36),"")</f>
        <v/>
      </c>
      <c r="AC14" s="30" t="str">
        <f>IFERROR(IF('IND-07'!G37="","",'IND-07'!G37),"")</f>
        <v/>
      </c>
      <c r="AD14" s="30" t="str">
        <f>IFERROR(IF('IND-07'!G38="","",'IND-07'!G38),"")</f>
        <v/>
      </c>
      <c r="AE14" s="30" t="str">
        <f>IFERROR(IF('IND-07'!G39="","",'IND-07'!G39),"")</f>
        <v/>
      </c>
      <c r="AF14" s="30" t="str">
        <f>IFERROR(IF('IND-07'!G40="","",'IND-07'!G40),"")</f>
        <v/>
      </c>
      <c r="AG14" s="30" t="str">
        <f>IFERROR(IF('IND-07'!G41="","",'IND-07'!G41),"")</f>
        <v/>
      </c>
      <c r="AH14" s="30" t="str">
        <f>IFERROR(IF('IND-07'!G42="","",'IND-07'!G42),"")</f>
        <v/>
      </c>
      <c r="AI14" s="30" t="str">
        <f>IFERROR(IF('IND-07'!G43="","",'IND-07'!G43),"")</f>
        <v/>
      </c>
      <c r="AJ14" s="30" t="str">
        <f>IFERROR(IF('IND-07'!G44="","",'IND-07'!G44),"")</f>
        <v/>
      </c>
      <c r="AK14" s="30" t="str">
        <f>IFERROR(IF('IND-07'!G45="","",'IND-07'!G45),"")</f>
        <v/>
      </c>
      <c r="AL14" s="30" t="str">
        <f>IFERROR(IF('IND-07'!G46="","",'IND-07'!G46),"")</f>
        <v/>
      </c>
      <c r="AM14" s="30" t="str">
        <f>IFERROR(IF('IND-07'!G47="","",'IND-07'!G47),"")</f>
        <v/>
      </c>
      <c r="AN14" s="30" t="str">
        <f>IFERROR(IF('IND-07'!G48="","",'IND-07'!G48),"")</f>
        <v/>
      </c>
      <c r="AO14" s="30" t="str">
        <f>IFERROR(IF('IND-07'!G49="","",'IND-07'!G49),"")</f>
        <v/>
      </c>
      <c r="AP14" s="30" t="str">
        <f>IFERROR(IF('IND-07'!G50="","",'IND-07'!G50),"")</f>
        <v/>
      </c>
      <c r="AQ14" s="30" t="str">
        <f>IFERROR(IF('IND-07'!G51="","",'IND-07'!G51),"")</f>
        <v/>
      </c>
      <c r="AR14" s="30" t="str">
        <f>IFERROR(IF('IND-07'!G52="","",'IND-07'!G52),"")</f>
        <v/>
      </c>
      <c r="AS14" s="30" t="str">
        <f>IFERROR(IF('IND-07'!G53="","",'IND-07'!G53),"")</f>
        <v/>
      </c>
      <c r="AT14" s="30" t="str">
        <f>IFERROR(IF('IND-07'!G54="","",'IND-07'!G54),"")</f>
        <v/>
      </c>
      <c r="AU14" s="30" t="str">
        <f>IFERROR(IF('IND-07'!G55="","",'IND-07'!G55),"")</f>
        <v/>
      </c>
      <c r="AV14" s="30" t="str">
        <f>IFERROR(IF('IND-07'!G56="","",'IND-07'!G56),"")</f>
        <v/>
      </c>
      <c r="AW14" s="30" t="str">
        <f>IFERROR(IF('IND-07'!G57="","",'IND-07'!G57),"")</f>
        <v/>
      </c>
      <c r="AX14" s="30" t="str">
        <f>IFERROR(IF('IND-07'!G58="","",'IND-07'!G58),"")</f>
        <v/>
      </c>
      <c r="AY14" s="30" t="str">
        <f>IFERROR(IF('IND-07'!G59="","",'IND-07'!G59),"")</f>
        <v/>
      </c>
      <c r="AZ14" s="30" t="str">
        <f>IFERROR(IF('IND-07'!G60="","",'IND-07'!G60),"")</f>
        <v/>
      </c>
      <c r="BA14" s="30" t="str">
        <f>IFERROR(IF('IND-07'!G61="","",'IND-07'!G61),"")</f>
        <v/>
      </c>
      <c r="BB14" s="30" t="str">
        <f>IFERROR(IF('IND-07'!G62="","",'IND-07'!G62),"")</f>
        <v/>
      </c>
      <c r="BC14" s="30" t="str">
        <f>IFERROR(IF('IND-07'!G63="","",'IND-07'!G63),"")</f>
        <v/>
      </c>
      <c r="BD14" s="30" t="str">
        <f>IFERROR(IF('IND-07'!G64="","",'IND-07'!G64),"")</f>
        <v/>
      </c>
      <c r="BE14" s="30" t="str">
        <f>IFERROR(IF('IND-07'!G65="","",'IND-07'!G65),"")</f>
        <v/>
      </c>
      <c r="BF14" s="30" t="str">
        <f>IFERROR(IF('IND-07'!G66="","",'IND-07'!G66),"")</f>
        <v/>
      </c>
      <c r="BG14" s="30" t="str">
        <f>IFERROR(IF('IND-07'!G67="","",'IND-07'!G67),"")</f>
        <v/>
      </c>
      <c r="BH14" s="30" t="str">
        <f>IFERROR(IF('IND-07'!G68="","",'IND-07'!G68),"")</f>
        <v/>
      </c>
      <c r="BI14" s="30" t="str">
        <f>IFERROR(IF('IND-07'!G69="","",'IND-07'!G69),"")</f>
        <v/>
      </c>
      <c r="BJ14" s="30" t="str">
        <f>IFERROR(IF('IND-07'!G70="","",'IND-07'!G70),"")</f>
        <v/>
      </c>
      <c r="BK14" s="30" t="str">
        <f>IFERROR(IF('IND-07'!G71="","",'IND-07'!G71),"")</f>
        <v/>
      </c>
      <c r="BL14" s="30" t="str">
        <f>IFERROR(IF('IND-07'!G72="","",'IND-07'!G72),"")</f>
        <v/>
      </c>
      <c r="BM14" s="30" t="str">
        <f>IFERROR(IF('IND-07'!G73="","",'IND-07'!G73),"")</f>
        <v/>
      </c>
      <c r="BN14" s="30" t="str">
        <f>IFERROR(IF('IND-07'!G74="","",'IND-07'!G74),"")</f>
        <v/>
      </c>
      <c r="BO14" s="30" t="str">
        <f>IFERROR(IF('IND-07'!G75="","",'IND-07'!G75),"")</f>
        <v/>
      </c>
      <c r="BP14" s="30" t="str">
        <f>IFERROR(IF('IND-07'!G76="","",'IND-07'!G76),"")</f>
        <v/>
      </c>
      <c r="BQ14" s="30" t="str">
        <f>IFERROR(IF('IND-07'!G77="","",'IND-07'!G77),"")</f>
        <v/>
      </c>
      <c r="BR14" s="30" t="str">
        <f>IFERROR(IF('IND-07'!G78="","",'IND-07'!G78),"")</f>
        <v/>
      </c>
      <c r="BS14" s="30" t="str">
        <f>IFERROR(IF('IND-07'!G79="","",'IND-07'!G79),"")</f>
        <v/>
      </c>
      <c r="BT14" s="30" t="str">
        <f>IFERROR(IF('IND-07'!G80="","",'IND-07'!G80),"")</f>
        <v/>
      </c>
      <c r="BU14" s="30" t="str">
        <f>IFERROR(IF('IND-07'!G81="","",'IND-07'!G81),"")</f>
        <v/>
      </c>
      <c r="BV14" s="30" t="str">
        <f>IFERROR(IF('IND-07'!G82="","",'IND-07'!G82),"")</f>
        <v/>
      </c>
      <c r="BW14" s="31" t="str">
        <f>IFERROR(AVERAGE('IND-07'!I23:I34),"")</f>
        <v/>
      </c>
      <c r="BX14" s="31" t="str">
        <f>IFERROR(AVERAGE('IND-07'!I35:I46),"")</f>
        <v/>
      </c>
      <c r="BY14" s="31" t="str">
        <f>IFERROR(AVERAGE('IND-07'!I47:I58),"")</f>
        <v/>
      </c>
      <c r="BZ14" s="31" t="str">
        <f>IFERROR(AVERAGE('IND-07'!I59:I70),"")</f>
        <v/>
      </c>
      <c r="CA14" s="31" t="str">
        <f>IFERROR(AVERAGE('IND-07'!I71:I82),"")</f>
        <v/>
      </c>
      <c r="CB14" s="32" t="str">
        <f t="shared" si="0"/>
        <v>⚪ Pendiente</v>
      </c>
    </row>
    <row r="15" spans="2:80" ht="37.5" customHeight="1" x14ac:dyDescent="0.35">
      <c r="B15" s="23" t="s">
        <v>53</v>
      </c>
      <c r="C15" s="24" t="s">
        <v>54</v>
      </c>
      <c r="D15" s="25" t="s">
        <v>155</v>
      </c>
      <c r="E15" s="25" t="s">
        <v>156</v>
      </c>
      <c r="F15" s="26" t="s">
        <v>139</v>
      </c>
      <c r="G15" s="27" t="s">
        <v>140</v>
      </c>
      <c r="H15" s="26" t="s">
        <v>38</v>
      </c>
      <c r="I15" s="28" t="str">
        <f>VLOOKUP("IND-08",Parámetros!$B$6:$F$30,5,FALSE())</f>
        <v>Por definir</v>
      </c>
      <c r="J15" s="35" t="str">
        <f>'IND-08'!C14</f>
        <v>≥ IPC</v>
      </c>
      <c r="K15" s="35" t="str">
        <f>'IND-08'!C15</f>
        <v>≥ IPC</v>
      </c>
      <c r="L15" s="35" t="str">
        <f>'IND-08'!C16</f>
        <v>≥ IPC</v>
      </c>
      <c r="M15" s="35" t="str">
        <f>'IND-08'!C17</f>
        <v>≥ IPC</v>
      </c>
      <c r="N15" s="35" t="str">
        <f>'IND-08'!C18</f>
        <v>≥ IPC</v>
      </c>
      <c r="O15" s="36" t="str">
        <f>IFERROR(IF('IND-08'!F23="","",'IND-08'!F23),"")</f>
        <v/>
      </c>
      <c r="P15" s="36" t="str">
        <f>IFERROR(IF('IND-08'!F24="","",'IND-08'!F24),"")</f>
        <v/>
      </c>
      <c r="Q15" s="36" t="str">
        <f>IFERROR(IF('IND-08'!F25="","",'IND-08'!F25),"")</f>
        <v/>
      </c>
      <c r="R15" s="36" t="str">
        <f>IFERROR(IF('IND-08'!F26="","",'IND-08'!F26),"")</f>
        <v/>
      </c>
      <c r="S15" s="36" t="str">
        <f>IFERROR(IF('IND-08'!F27="","",'IND-08'!F27),"")</f>
        <v/>
      </c>
      <c r="T15" s="36" t="str">
        <f>IFERROR(IF('IND-08'!F28="","",'IND-08'!F28),"")</f>
        <v/>
      </c>
      <c r="U15" s="36" t="str">
        <f>IFERROR(IF('IND-08'!F29="","",'IND-08'!F29),"")</f>
        <v/>
      </c>
      <c r="V15" s="36" t="str">
        <f>IFERROR(IF('IND-08'!F30="","",'IND-08'!F30),"")</f>
        <v/>
      </c>
      <c r="W15" s="36" t="str">
        <f>IFERROR(IF('IND-08'!F31="","",'IND-08'!F31),"")</f>
        <v/>
      </c>
      <c r="X15" s="36" t="str">
        <f>IFERROR(IF('IND-08'!F32="","",'IND-08'!F32),"")</f>
        <v/>
      </c>
      <c r="Y15" s="36" t="str">
        <f>IFERROR(IF('IND-08'!F33="","",'IND-08'!F33),"")</f>
        <v/>
      </c>
      <c r="Z15" s="36" t="str">
        <f>IFERROR(IF('IND-08'!F34="","",'IND-08'!F34),"")</f>
        <v/>
      </c>
      <c r="AA15" s="36" t="str">
        <f>IFERROR(IF('IND-08'!F35="","",'IND-08'!F35),"")</f>
        <v/>
      </c>
      <c r="AB15" s="36" t="str">
        <f>IFERROR(IF('IND-08'!F36="","",'IND-08'!F36),"")</f>
        <v/>
      </c>
      <c r="AC15" s="36" t="str">
        <f>IFERROR(IF('IND-08'!F37="","",'IND-08'!F37),"")</f>
        <v/>
      </c>
      <c r="AD15" s="36" t="str">
        <f>IFERROR(IF('IND-08'!F38="","",'IND-08'!F38),"")</f>
        <v/>
      </c>
      <c r="AE15" s="36" t="str">
        <f>IFERROR(IF('IND-08'!F39="","",'IND-08'!F39),"")</f>
        <v/>
      </c>
      <c r="AF15" s="36" t="str">
        <f>IFERROR(IF('IND-08'!F40="","",'IND-08'!F40),"")</f>
        <v/>
      </c>
      <c r="AG15" s="36" t="str">
        <f>IFERROR(IF('IND-08'!F41="","",'IND-08'!F41),"")</f>
        <v/>
      </c>
      <c r="AH15" s="36" t="str">
        <f>IFERROR(IF('IND-08'!F42="","",'IND-08'!F42),"")</f>
        <v/>
      </c>
      <c r="AI15" s="36" t="str">
        <f>IFERROR(IF('IND-08'!F43="","",'IND-08'!F43),"")</f>
        <v/>
      </c>
      <c r="AJ15" s="36" t="str">
        <f>IFERROR(IF('IND-08'!F44="","",'IND-08'!F44),"")</f>
        <v/>
      </c>
      <c r="AK15" s="36" t="str">
        <f>IFERROR(IF('IND-08'!F45="","",'IND-08'!F45),"")</f>
        <v/>
      </c>
      <c r="AL15" s="36" t="str">
        <f>IFERROR(IF('IND-08'!F46="","",'IND-08'!F46),"")</f>
        <v/>
      </c>
      <c r="AM15" s="36" t="str">
        <f>IFERROR(IF('IND-08'!F47="","",'IND-08'!F47),"")</f>
        <v/>
      </c>
      <c r="AN15" s="36" t="str">
        <f>IFERROR(IF('IND-08'!F48="","",'IND-08'!F48),"")</f>
        <v/>
      </c>
      <c r="AO15" s="36" t="str">
        <f>IFERROR(IF('IND-08'!F49="","",'IND-08'!F49),"")</f>
        <v/>
      </c>
      <c r="AP15" s="36" t="str">
        <f>IFERROR(IF('IND-08'!F50="","",'IND-08'!F50),"")</f>
        <v/>
      </c>
      <c r="AQ15" s="36" t="str">
        <f>IFERROR(IF('IND-08'!F51="","",'IND-08'!F51),"")</f>
        <v/>
      </c>
      <c r="AR15" s="36" t="str">
        <f>IFERROR(IF('IND-08'!F52="","",'IND-08'!F52),"")</f>
        <v/>
      </c>
      <c r="AS15" s="36" t="str">
        <f>IFERROR(IF('IND-08'!F53="","",'IND-08'!F53),"")</f>
        <v/>
      </c>
      <c r="AT15" s="36" t="str">
        <f>IFERROR(IF('IND-08'!F54="","",'IND-08'!F54),"")</f>
        <v/>
      </c>
      <c r="AU15" s="36" t="str">
        <f>IFERROR(IF('IND-08'!F55="","",'IND-08'!F55),"")</f>
        <v/>
      </c>
      <c r="AV15" s="36" t="str">
        <f>IFERROR(IF('IND-08'!F56="","",'IND-08'!F56),"")</f>
        <v/>
      </c>
      <c r="AW15" s="36" t="str">
        <f>IFERROR(IF('IND-08'!F57="","",'IND-08'!F57),"")</f>
        <v/>
      </c>
      <c r="AX15" s="36" t="str">
        <f>IFERROR(IF('IND-08'!F58="","",'IND-08'!F58),"")</f>
        <v/>
      </c>
      <c r="AY15" s="36" t="str">
        <f>IFERROR(IF('IND-08'!F59="","",'IND-08'!F59),"")</f>
        <v/>
      </c>
      <c r="AZ15" s="36" t="str">
        <f>IFERROR(IF('IND-08'!F60="","",'IND-08'!F60),"")</f>
        <v/>
      </c>
      <c r="BA15" s="36" t="str">
        <f>IFERROR(IF('IND-08'!F61="","",'IND-08'!F61),"")</f>
        <v/>
      </c>
      <c r="BB15" s="36" t="str">
        <f>IFERROR(IF('IND-08'!F62="","",'IND-08'!F62),"")</f>
        <v/>
      </c>
      <c r="BC15" s="36" t="str">
        <f>IFERROR(IF('IND-08'!F63="","",'IND-08'!F63),"")</f>
        <v/>
      </c>
      <c r="BD15" s="36" t="str">
        <f>IFERROR(IF('IND-08'!F64="","",'IND-08'!F64),"")</f>
        <v/>
      </c>
      <c r="BE15" s="36" t="str">
        <f>IFERROR(IF('IND-08'!F65="","",'IND-08'!F65),"")</f>
        <v/>
      </c>
      <c r="BF15" s="36" t="str">
        <f>IFERROR(IF('IND-08'!F66="","",'IND-08'!F66),"")</f>
        <v/>
      </c>
      <c r="BG15" s="36" t="str">
        <f>IFERROR(IF('IND-08'!F67="","",'IND-08'!F67),"")</f>
        <v/>
      </c>
      <c r="BH15" s="36" t="str">
        <f>IFERROR(IF('IND-08'!F68="","",'IND-08'!F68),"")</f>
        <v/>
      </c>
      <c r="BI15" s="36" t="str">
        <f>IFERROR(IF('IND-08'!F69="","",'IND-08'!F69),"")</f>
        <v/>
      </c>
      <c r="BJ15" s="36" t="str">
        <f>IFERROR(IF('IND-08'!F70="","",'IND-08'!F70),"")</f>
        <v/>
      </c>
      <c r="BK15" s="36" t="str">
        <f>IFERROR(IF('IND-08'!F71="","",'IND-08'!F71),"")</f>
        <v/>
      </c>
      <c r="BL15" s="36" t="str">
        <f>IFERROR(IF('IND-08'!F72="","",'IND-08'!F72),"")</f>
        <v/>
      </c>
      <c r="BM15" s="36" t="str">
        <f>IFERROR(IF('IND-08'!F73="","",'IND-08'!F73),"")</f>
        <v/>
      </c>
      <c r="BN15" s="36" t="str">
        <f>IFERROR(IF('IND-08'!F74="","",'IND-08'!F74),"")</f>
        <v/>
      </c>
      <c r="BO15" s="36" t="str">
        <f>IFERROR(IF('IND-08'!F75="","",'IND-08'!F75),"")</f>
        <v/>
      </c>
      <c r="BP15" s="36" t="str">
        <f>IFERROR(IF('IND-08'!F76="","",'IND-08'!F76),"")</f>
        <v/>
      </c>
      <c r="BQ15" s="36" t="str">
        <f>IFERROR(IF('IND-08'!F77="","",'IND-08'!F77),"")</f>
        <v/>
      </c>
      <c r="BR15" s="36" t="str">
        <f>IFERROR(IF('IND-08'!F78="","",'IND-08'!F78),"")</f>
        <v/>
      </c>
      <c r="BS15" s="36" t="str">
        <f>IFERROR(IF('IND-08'!F79="","",'IND-08'!F79),"")</f>
        <v/>
      </c>
      <c r="BT15" s="36" t="str">
        <f>IFERROR(IF('IND-08'!F80="","",'IND-08'!F80),"")</f>
        <v/>
      </c>
      <c r="BU15" s="36" t="str">
        <f>IFERROR(IF('IND-08'!F81="","",'IND-08'!F81),"")</f>
        <v/>
      </c>
      <c r="BV15" s="36" t="str">
        <f>IFERROR(IF('IND-08'!F82="","",'IND-08'!F82),"")</f>
        <v/>
      </c>
      <c r="BW15" s="31" t="str">
        <f>IFERROR(AVERAGE('IND-08'!H23:H34),"")</f>
        <v/>
      </c>
      <c r="BX15" s="31" t="str">
        <f>IFERROR(AVERAGE('IND-08'!H35:H46),"")</f>
        <v/>
      </c>
      <c r="BY15" s="31" t="str">
        <f>IFERROR(AVERAGE('IND-08'!H47:H58),"")</f>
        <v/>
      </c>
      <c r="BZ15" s="31" t="str">
        <f>IFERROR(AVERAGE('IND-08'!H59:H70),"")</f>
        <v/>
      </c>
      <c r="CA15" s="31" t="str">
        <f>IFERROR(AVERAGE('IND-08'!H71:H82),"")</f>
        <v/>
      </c>
      <c r="CB15" s="32" t="str">
        <f t="shared" si="0"/>
        <v>⚪ Pendiente</v>
      </c>
    </row>
    <row r="16" spans="2:80" ht="37.5" customHeight="1" x14ac:dyDescent="0.35">
      <c r="B16" s="23" t="s">
        <v>53</v>
      </c>
      <c r="C16" s="24" t="s">
        <v>56</v>
      </c>
      <c r="D16" s="25" t="s">
        <v>157</v>
      </c>
      <c r="E16" s="25" t="s">
        <v>158</v>
      </c>
      <c r="F16" s="26" t="s">
        <v>159</v>
      </c>
      <c r="G16" s="27" t="s">
        <v>160</v>
      </c>
      <c r="H16" s="26" t="s">
        <v>38</v>
      </c>
      <c r="I16" s="28" t="str">
        <f>VLOOKUP("IND-09",Parámetros!$B$6:$F$30,5,FALSE())</f>
        <v>Por definir</v>
      </c>
      <c r="J16" s="29">
        <f>'IND-09'!C14</f>
        <v>0</v>
      </c>
      <c r="K16" s="29">
        <f>'IND-09'!C15</f>
        <v>0</v>
      </c>
      <c r="L16" s="29">
        <f>'IND-09'!C16</f>
        <v>0</v>
      </c>
      <c r="M16" s="29">
        <f>'IND-09'!C17</f>
        <v>0</v>
      </c>
      <c r="N16" s="29">
        <f>'IND-09'!C18</f>
        <v>0</v>
      </c>
      <c r="O16" s="30" t="str">
        <f>IFERROR(IF('IND-09'!G23="","",'IND-09'!G23),"")</f>
        <v/>
      </c>
      <c r="P16" s="30" t="str">
        <f>IFERROR(IF('IND-09'!G24="","",'IND-09'!G24),"")</f>
        <v/>
      </c>
      <c r="Q16" s="30" t="str">
        <f>IFERROR(IF('IND-09'!G25="","",'IND-09'!G25),"")</f>
        <v/>
      </c>
      <c r="R16" s="30" t="str">
        <f>IFERROR(IF('IND-09'!G26="","",'IND-09'!G26),"")</f>
        <v/>
      </c>
      <c r="S16" s="30" t="str">
        <f>IFERROR(IF('IND-09'!G27="","",'IND-09'!G27),"")</f>
        <v/>
      </c>
      <c r="T16" s="30" t="str">
        <f>IFERROR(IF('IND-09'!G28="","",'IND-09'!G28),"")</f>
        <v/>
      </c>
      <c r="U16" s="30" t="str">
        <f>IFERROR(IF('IND-09'!G29="","",'IND-09'!G29),"")</f>
        <v/>
      </c>
      <c r="V16" s="30" t="str">
        <f>IFERROR(IF('IND-09'!G30="","",'IND-09'!G30),"")</f>
        <v/>
      </c>
      <c r="W16" s="30" t="str">
        <f>IFERROR(IF('IND-09'!G31="","",'IND-09'!G31),"")</f>
        <v/>
      </c>
      <c r="X16" s="30" t="str">
        <f>IFERROR(IF('IND-09'!G32="","",'IND-09'!G32),"")</f>
        <v/>
      </c>
      <c r="Y16" s="30" t="str">
        <f>IFERROR(IF('IND-09'!G33="","",'IND-09'!G33),"")</f>
        <v/>
      </c>
      <c r="Z16" s="30" t="str">
        <f>IFERROR(IF('IND-09'!G34="","",'IND-09'!G34),"")</f>
        <v/>
      </c>
      <c r="AA16" s="30" t="str">
        <f>IFERROR(IF('IND-09'!G35="","",'IND-09'!G35),"")</f>
        <v/>
      </c>
      <c r="AB16" s="30" t="str">
        <f>IFERROR(IF('IND-09'!G36="","",'IND-09'!G36),"")</f>
        <v/>
      </c>
      <c r="AC16" s="30" t="str">
        <f>IFERROR(IF('IND-09'!G37="","",'IND-09'!G37),"")</f>
        <v/>
      </c>
      <c r="AD16" s="30" t="str">
        <f>IFERROR(IF('IND-09'!G38="","",'IND-09'!G38),"")</f>
        <v/>
      </c>
      <c r="AE16" s="30" t="str">
        <f>IFERROR(IF('IND-09'!G39="","",'IND-09'!G39),"")</f>
        <v/>
      </c>
      <c r="AF16" s="30" t="str">
        <f>IFERROR(IF('IND-09'!G40="","",'IND-09'!G40),"")</f>
        <v/>
      </c>
      <c r="AG16" s="30" t="str">
        <f>IFERROR(IF('IND-09'!G41="","",'IND-09'!G41),"")</f>
        <v/>
      </c>
      <c r="AH16" s="30" t="str">
        <f>IFERROR(IF('IND-09'!G42="","",'IND-09'!G42),"")</f>
        <v/>
      </c>
      <c r="AI16" s="30" t="str">
        <f>IFERROR(IF('IND-09'!G43="","",'IND-09'!G43),"")</f>
        <v/>
      </c>
      <c r="AJ16" s="30" t="str">
        <f>IFERROR(IF('IND-09'!G44="","",'IND-09'!G44),"")</f>
        <v/>
      </c>
      <c r="AK16" s="30" t="str">
        <f>IFERROR(IF('IND-09'!G45="","",'IND-09'!G45),"")</f>
        <v/>
      </c>
      <c r="AL16" s="30" t="str">
        <f>IFERROR(IF('IND-09'!G46="","",'IND-09'!G46),"")</f>
        <v/>
      </c>
      <c r="AM16" s="30" t="str">
        <f>IFERROR(IF('IND-09'!G47="","",'IND-09'!G47),"")</f>
        <v/>
      </c>
      <c r="AN16" s="30" t="str">
        <f>IFERROR(IF('IND-09'!G48="","",'IND-09'!G48),"")</f>
        <v/>
      </c>
      <c r="AO16" s="30" t="str">
        <f>IFERROR(IF('IND-09'!G49="","",'IND-09'!G49),"")</f>
        <v/>
      </c>
      <c r="AP16" s="30" t="str">
        <f>IFERROR(IF('IND-09'!G50="","",'IND-09'!G50),"")</f>
        <v/>
      </c>
      <c r="AQ16" s="30" t="str">
        <f>IFERROR(IF('IND-09'!G51="","",'IND-09'!G51),"")</f>
        <v/>
      </c>
      <c r="AR16" s="30" t="str">
        <f>IFERROR(IF('IND-09'!G52="","",'IND-09'!G52),"")</f>
        <v/>
      </c>
      <c r="AS16" s="30" t="str">
        <f>IFERROR(IF('IND-09'!G53="","",'IND-09'!G53),"")</f>
        <v/>
      </c>
      <c r="AT16" s="30" t="str">
        <f>IFERROR(IF('IND-09'!G54="","",'IND-09'!G54),"")</f>
        <v/>
      </c>
      <c r="AU16" s="30" t="str">
        <f>IFERROR(IF('IND-09'!G55="","",'IND-09'!G55),"")</f>
        <v/>
      </c>
      <c r="AV16" s="30" t="str">
        <f>IFERROR(IF('IND-09'!G56="","",'IND-09'!G56),"")</f>
        <v/>
      </c>
      <c r="AW16" s="30" t="str">
        <f>IFERROR(IF('IND-09'!G57="","",'IND-09'!G57),"")</f>
        <v/>
      </c>
      <c r="AX16" s="30" t="str">
        <f>IFERROR(IF('IND-09'!G58="","",'IND-09'!G58),"")</f>
        <v/>
      </c>
      <c r="AY16" s="30" t="str">
        <f>IFERROR(IF('IND-09'!G59="","",'IND-09'!G59),"")</f>
        <v/>
      </c>
      <c r="AZ16" s="30" t="str">
        <f>IFERROR(IF('IND-09'!G60="","",'IND-09'!G60),"")</f>
        <v/>
      </c>
      <c r="BA16" s="30" t="str">
        <f>IFERROR(IF('IND-09'!G61="","",'IND-09'!G61),"")</f>
        <v/>
      </c>
      <c r="BB16" s="30" t="str">
        <f>IFERROR(IF('IND-09'!G62="","",'IND-09'!G62),"")</f>
        <v/>
      </c>
      <c r="BC16" s="30" t="str">
        <f>IFERROR(IF('IND-09'!G63="","",'IND-09'!G63),"")</f>
        <v/>
      </c>
      <c r="BD16" s="30" t="str">
        <f>IFERROR(IF('IND-09'!G64="","",'IND-09'!G64),"")</f>
        <v/>
      </c>
      <c r="BE16" s="30" t="str">
        <f>IFERROR(IF('IND-09'!G65="","",'IND-09'!G65),"")</f>
        <v/>
      </c>
      <c r="BF16" s="30" t="str">
        <f>IFERROR(IF('IND-09'!G66="","",'IND-09'!G66),"")</f>
        <v/>
      </c>
      <c r="BG16" s="30" t="str">
        <f>IFERROR(IF('IND-09'!G67="","",'IND-09'!G67),"")</f>
        <v/>
      </c>
      <c r="BH16" s="30" t="str">
        <f>IFERROR(IF('IND-09'!G68="","",'IND-09'!G68),"")</f>
        <v/>
      </c>
      <c r="BI16" s="30" t="str">
        <f>IFERROR(IF('IND-09'!G69="","",'IND-09'!G69),"")</f>
        <v/>
      </c>
      <c r="BJ16" s="30" t="str">
        <f>IFERROR(IF('IND-09'!G70="","",'IND-09'!G70),"")</f>
        <v/>
      </c>
      <c r="BK16" s="30" t="str">
        <f>IFERROR(IF('IND-09'!G71="","",'IND-09'!G71),"")</f>
        <v/>
      </c>
      <c r="BL16" s="30" t="str">
        <f>IFERROR(IF('IND-09'!G72="","",'IND-09'!G72),"")</f>
        <v/>
      </c>
      <c r="BM16" s="30" t="str">
        <f>IFERROR(IF('IND-09'!G73="","",'IND-09'!G73),"")</f>
        <v/>
      </c>
      <c r="BN16" s="30" t="str">
        <f>IFERROR(IF('IND-09'!G74="","",'IND-09'!G74),"")</f>
        <v/>
      </c>
      <c r="BO16" s="30" t="str">
        <f>IFERROR(IF('IND-09'!G75="","",'IND-09'!G75),"")</f>
        <v/>
      </c>
      <c r="BP16" s="30" t="str">
        <f>IFERROR(IF('IND-09'!G76="","",'IND-09'!G76),"")</f>
        <v/>
      </c>
      <c r="BQ16" s="30" t="str">
        <f>IFERROR(IF('IND-09'!G77="","",'IND-09'!G77),"")</f>
        <v/>
      </c>
      <c r="BR16" s="30" t="str">
        <f>IFERROR(IF('IND-09'!G78="","",'IND-09'!G78),"")</f>
        <v/>
      </c>
      <c r="BS16" s="30" t="str">
        <f>IFERROR(IF('IND-09'!G79="","",'IND-09'!G79),"")</f>
        <v/>
      </c>
      <c r="BT16" s="30" t="str">
        <f>IFERROR(IF('IND-09'!G80="","",'IND-09'!G80),"")</f>
        <v/>
      </c>
      <c r="BU16" s="30" t="str">
        <f>IFERROR(IF('IND-09'!G81="","",'IND-09'!G81),"")</f>
        <v/>
      </c>
      <c r="BV16" s="30" t="str">
        <f>IFERROR(IF('IND-09'!G82="","",'IND-09'!G82),"")</f>
        <v/>
      </c>
      <c r="BW16" s="31" t="str">
        <f>IFERROR(AVERAGE('IND-09'!I23:I34),"")</f>
        <v/>
      </c>
      <c r="BX16" s="31" t="str">
        <f>IFERROR(AVERAGE('IND-09'!I35:I46),"")</f>
        <v/>
      </c>
      <c r="BY16" s="31" t="str">
        <f>IFERROR(AVERAGE('IND-09'!I47:I58),"")</f>
        <v/>
      </c>
      <c r="BZ16" s="31" t="str">
        <f>IFERROR(AVERAGE('IND-09'!I59:I70),"")</f>
        <v/>
      </c>
      <c r="CA16" s="31" t="str">
        <f>IFERROR(AVERAGE('IND-09'!I71:I82),"")</f>
        <v/>
      </c>
      <c r="CB16" s="32" t="str">
        <f t="shared" si="0"/>
        <v>⚪ Pendiente</v>
      </c>
    </row>
    <row r="17" spans="2:80" ht="37.5" customHeight="1" x14ac:dyDescent="0.35">
      <c r="B17" s="23" t="s">
        <v>58</v>
      </c>
      <c r="C17" s="24" t="s">
        <v>59</v>
      </c>
      <c r="D17" s="25" t="s">
        <v>161</v>
      </c>
      <c r="E17" s="25" t="s">
        <v>162</v>
      </c>
      <c r="F17" s="26" t="s">
        <v>163</v>
      </c>
      <c r="G17" s="27" t="s">
        <v>160</v>
      </c>
      <c r="H17" s="26" t="s">
        <v>38</v>
      </c>
      <c r="I17" s="28" t="str">
        <f>VLOOKUP("IND-10",Parámetros!$B$6:$F$30,5,FALSE())</f>
        <v>Por definir</v>
      </c>
      <c r="J17" s="37">
        <f>'IND-10'!C14</f>
        <v>1.2</v>
      </c>
      <c r="K17" s="37">
        <f>'IND-10'!C15</f>
        <v>1.2</v>
      </c>
      <c r="L17" s="37">
        <f>'IND-10'!C16</f>
        <v>1.2</v>
      </c>
      <c r="M17" s="37">
        <f>'IND-10'!C17</f>
        <v>1.2</v>
      </c>
      <c r="N17" s="37">
        <f>'IND-10'!C18</f>
        <v>1.2</v>
      </c>
      <c r="O17" s="38" t="str">
        <f>IFERROR(IF('IND-10'!G23="","",'IND-10'!G23),"")</f>
        <v/>
      </c>
      <c r="P17" s="38" t="str">
        <f>IFERROR(IF('IND-10'!G24="","",'IND-10'!G24),"")</f>
        <v/>
      </c>
      <c r="Q17" s="38" t="str">
        <f>IFERROR(IF('IND-10'!G25="","",'IND-10'!G25),"")</f>
        <v/>
      </c>
      <c r="R17" s="38" t="str">
        <f>IFERROR(IF('IND-10'!G26="","",'IND-10'!G26),"")</f>
        <v/>
      </c>
      <c r="S17" s="38" t="str">
        <f>IFERROR(IF('IND-10'!G27="","",'IND-10'!G27),"")</f>
        <v/>
      </c>
      <c r="T17" s="38" t="str">
        <f>IFERROR(IF('IND-10'!G28="","",'IND-10'!G28),"")</f>
        <v/>
      </c>
      <c r="U17" s="38" t="str">
        <f>IFERROR(IF('IND-10'!G29="","",'IND-10'!G29),"")</f>
        <v/>
      </c>
      <c r="V17" s="38" t="str">
        <f>IFERROR(IF('IND-10'!G30="","",'IND-10'!G30),"")</f>
        <v/>
      </c>
      <c r="W17" s="38" t="str">
        <f>IFERROR(IF('IND-10'!G31="","",'IND-10'!G31),"")</f>
        <v/>
      </c>
      <c r="X17" s="38" t="str">
        <f>IFERROR(IF('IND-10'!G32="","",'IND-10'!G32),"")</f>
        <v/>
      </c>
      <c r="Y17" s="38" t="str">
        <f>IFERROR(IF('IND-10'!G33="","",'IND-10'!G33),"")</f>
        <v/>
      </c>
      <c r="Z17" s="38" t="str">
        <f>IFERROR(IF('IND-10'!G34="","",'IND-10'!G34),"")</f>
        <v/>
      </c>
      <c r="AA17" s="38" t="str">
        <f>IFERROR(IF('IND-10'!G35="","",'IND-10'!G35),"")</f>
        <v/>
      </c>
      <c r="AB17" s="38" t="str">
        <f>IFERROR(IF('IND-10'!G36="","",'IND-10'!G36),"")</f>
        <v/>
      </c>
      <c r="AC17" s="38" t="str">
        <f>IFERROR(IF('IND-10'!G37="","",'IND-10'!G37),"")</f>
        <v/>
      </c>
      <c r="AD17" s="38" t="str">
        <f>IFERROR(IF('IND-10'!G38="","",'IND-10'!G38),"")</f>
        <v/>
      </c>
      <c r="AE17" s="38" t="str">
        <f>IFERROR(IF('IND-10'!G39="","",'IND-10'!G39),"")</f>
        <v/>
      </c>
      <c r="AF17" s="38" t="str">
        <f>IFERROR(IF('IND-10'!G40="","",'IND-10'!G40),"")</f>
        <v/>
      </c>
      <c r="AG17" s="38" t="str">
        <f>IFERROR(IF('IND-10'!G41="","",'IND-10'!G41),"")</f>
        <v/>
      </c>
      <c r="AH17" s="38" t="str">
        <f>IFERROR(IF('IND-10'!G42="","",'IND-10'!G42),"")</f>
        <v/>
      </c>
      <c r="AI17" s="38" t="str">
        <f>IFERROR(IF('IND-10'!G43="","",'IND-10'!G43),"")</f>
        <v/>
      </c>
      <c r="AJ17" s="38" t="str">
        <f>IFERROR(IF('IND-10'!G44="","",'IND-10'!G44),"")</f>
        <v/>
      </c>
      <c r="AK17" s="38" t="str">
        <f>IFERROR(IF('IND-10'!G45="","",'IND-10'!G45),"")</f>
        <v/>
      </c>
      <c r="AL17" s="38" t="str">
        <f>IFERROR(IF('IND-10'!G46="","",'IND-10'!G46),"")</f>
        <v/>
      </c>
      <c r="AM17" s="38" t="str">
        <f>IFERROR(IF('IND-10'!G47="","",'IND-10'!G47),"")</f>
        <v/>
      </c>
      <c r="AN17" s="38" t="str">
        <f>IFERROR(IF('IND-10'!G48="","",'IND-10'!G48),"")</f>
        <v/>
      </c>
      <c r="AO17" s="38" t="str">
        <f>IFERROR(IF('IND-10'!G49="","",'IND-10'!G49),"")</f>
        <v/>
      </c>
      <c r="AP17" s="38" t="str">
        <f>IFERROR(IF('IND-10'!G50="","",'IND-10'!G50),"")</f>
        <v/>
      </c>
      <c r="AQ17" s="38" t="str">
        <f>IFERROR(IF('IND-10'!G51="","",'IND-10'!G51),"")</f>
        <v/>
      </c>
      <c r="AR17" s="38" t="str">
        <f>IFERROR(IF('IND-10'!G52="","",'IND-10'!G52),"")</f>
        <v/>
      </c>
      <c r="AS17" s="38" t="str">
        <f>IFERROR(IF('IND-10'!G53="","",'IND-10'!G53),"")</f>
        <v/>
      </c>
      <c r="AT17" s="38" t="str">
        <f>IFERROR(IF('IND-10'!G54="","",'IND-10'!G54),"")</f>
        <v/>
      </c>
      <c r="AU17" s="38" t="str">
        <f>IFERROR(IF('IND-10'!G55="","",'IND-10'!G55),"")</f>
        <v/>
      </c>
      <c r="AV17" s="38" t="str">
        <f>IFERROR(IF('IND-10'!G56="","",'IND-10'!G56),"")</f>
        <v/>
      </c>
      <c r="AW17" s="38" t="str">
        <f>IFERROR(IF('IND-10'!G57="","",'IND-10'!G57),"")</f>
        <v/>
      </c>
      <c r="AX17" s="38" t="str">
        <f>IFERROR(IF('IND-10'!G58="","",'IND-10'!G58),"")</f>
        <v/>
      </c>
      <c r="AY17" s="38" t="str">
        <f>IFERROR(IF('IND-10'!G59="","",'IND-10'!G59),"")</f>
        <v/>
      </c>
      <c r="AZ17" s="38" t="str">
        <f>IFERROR(IF('IND-10'!G60="","",'IND-10'!G60),"")</f>
        <v/>
      </c>
      <c r="BA17" s="38" t="str">
        <f>IFERROR(IF('IND-10'!G61="","",'IND-10'!G61),"")</f>
        <v/>
      </c>
      <c r="BB17" s="38" t="str">
        <f>IFERROR(IF('IND-10'!G62="","",'IND-10'!G62),"")</f>
        <v/>
      </c>
      <c r="BC17" s="38" t="str">
        <f>IFERROR(IF('IND-10'!G63="","",'IND-10'!G63),"")</f>
        <v/>
      </c>
      <c r="BD17" s="38" t="str">
        <f>IFERROR(IF('IND-10'!G64="","",'IND-10'!G64),"")</f>
        <v/>
      </c>
      <c r="BE17" s="38" t="str">
        <f>IFERROR(IF('IND-10'!G65="","",'IND-10'!G65),"")</f>
        <v/>
      </c>
      <c r="BF17" s="38" t="str">
        <f>IFERROR(IF('IND-10'!G66="","",'IND-10'!G66),"")</f>
        <v/>
      </c>
      <c r="BG17" s="38" t="str">
        <f>IFERROR(IF('IND-10'!G67="","",'IND-10'!G67),"")</f>
        <v/>
      </c>
      <c r="BH17" s="38" t="str">
        <f>IFERROR(IF('IND-10'!G68="","",'IND-10'!G68),"")</f>
        <v/>
      </c>
      <c r="BI17" s="38" t="str">
        <f>IFERROR(IF('IND-10'!G69="","",'IND-10'!G69),"")</f>
        <v/>
      </c>
      <c r="BJ17" s="38" t="str">
        <f>IFERROR(IF('IND-10'!G70="","",'IND-10'!G70),"")</f>
        <v/>
      </c>
      <c r="BK17" s="38" t="str">
        <f>IFERROR(IF('IND-10'!G71="","",'IND-10'!G71),"")</f>
        <v/>
      </c>
      <c r="BL17" s="38" t="str">
        <f>IFERROR(IF('IND-10'!G72="","",'IND-10'!G72),"")</f>
        <v/>
      </c>
      <c r="BM17" s="38" t="str">
        <f>IFERROR(IF('IND-10'!G73="","",'IND-10'!G73),"")</f>
        <v/>
      </c>
      <c r="BN17" s="38" t="str">
        <f>IFERROR(IF('IND-10'!G74="","",'IND-10'!G74),"")</f>
        <v/>
      </c>
      <c r="BO17" s="38" t="str">
        <f>IFERROR(IF('IND-10'!G75="","",'IND-10'!G75),"")</f>
        <v/>
      </c>
      <c r="BP17" s="38" t="str">
        <f>IFERROR(IF('IND-10'!G76="","",'IND-10'!G76),"")</f>
        <v/>
      </c>
      <c r="BQ17" s="38" t="str">
        <f>IFERROR(IF('IND-10'!G77="","",'IND-10'!G77),"")</f>
        <v/>
      </c>
      <c r="BR17" s="38" t="str">
        <f>IFERROR(IF('IND-10'!G78="","",'IND-10'!G78),"")</f>
        <v/>
      </c>
      <c r="BS17" s="38" t="str">
        <f>IFERROR(IF('IND-10'!G79="","",'IND-10'!G79),"")</f>
        <v/>
      </c>
      <c r="BT17" s="38" t="str">
        <f>IFERROR(IF('IND-10'!G80="","",'IND-10'!G80),"")</f>
        <v/>
      </c>
      <c r="BU17" s="38" t="str">
        <f>IFERROR(IF('IND-10'!G81="","",'IND-10'!G81),"")</f>
        <v/>
      </c>
      <c r="BV17" s="38" t="str">
        <f>IFERROR(IF('IND-10'!G82="","",'IND-10'!G82),"")</f>
        <v/>
      </c>
      <c r="BW17" s="31" t="str">
        <f>IFERROR(AVERAGE('IND-10'!I23:I34),"")</f>
        <v/>
      </c>
      <c r="BX17" s="31" t="str">
        <f>IFERROR(AVERAGE('IND-10'!I35:I46),"")</f>
        <v/>
      </c>
      <c r="BY17" s="31" t="str">
        <f>IFERROR(AVERAGE('IND-10'!I47:I58),"")</f>
        <v/>
      </c>
      <c r="BZ17" s="31" t="str">
        <f>IFERROR(AVERAGE('IND-10'!I59:I70),"")</f>
        <v/>
      </c>
      <c r="CA17" s="31" t="str">
        <f>IFERROR(AVERAGE('IND-10'!I71:I82),"")</f>
        <v/>
      </c>
      <c r="CB17" s="32" t="str">
        <f t="shared" si="0"/>
        <v>⚪ Pendiente</v>
      </c>
    </row>
    <row r="18" spans="2:80" ht="37.5" customHeight="1" x14ac:dyDescent="0.35">
      <c r="B18" s="23" t="s">
        <v>58</v>
      </c>
      <c r="C18" s="24" t="s">
        <v>61</v>
      </c>
      <c r="D18" s="25" t="s">
        <v>164</v>
      </c>
      <c r="E18" s="25" t="s">
        <v>165</v>
      </c>
      <c r="F18" s="26" t="s">
        <v>139</v>
      </c>
      <c r="G18" s="27" t="s">
        <v>160</v>
      </c>
      <c r="H18" s="26" t="s">
        <v>38</v>
      </c>
      <c r="I18" s="28" t="str">
        <f>VLOOKUP("IND-11",Parámetros!$B$6:$F$30,5,FALSE())</f>
        <v>Por definir</v>
      </c>
      <c r="J18" s="29">
        <f>'IND-11'!C14</f>
        <v>0.95</v>
      </c>
      <c r="K18" s="29">
        <f>'IND-11'!C15</f>
        <v>0.95</v>
      </c>
      <c r="L18" s="29">
        <f>'IND-11'!C16</f>
        <v>0.95</v>
      </c>
      <c r="M18" s="29">
        <f>'IND-11'!C17</f>
        <v>0.95</v>
      </c>
      <c r="N18" s="29">
        <f>'IND-11'!C18</f>
        <v>0.95</v>
      </c>
      <c r="O18" s="30" t="str">
        <f>IFERROR(IF('IND-11'!G23="","",'IND-11'!G23),"")</f>
        <v/>
      </c>
      <c r="P18" s="30" t="str">
        <f>IFERROR(IF('IND-11'!G24="","",'IND-11'!G24),"")</f>
        <v/>
      </c>
      <c r="Q18" s="30" t="str">
        <f>IFERROR(IF('IND-11'!G25="","",'IND-11'!G25),"")</f>
        <v/>
      </c>
      <c r="R18" s="30" t="str">
        <f>IFERROR(IF('IND-11'!G26="","",'IND-11'!G26),"")</f>
        <v/>
      </c>
      <c r="S18" s="30" t="str">
        <f>IFERROR(IF('IND-11'!G27="","",'IND-11'!G27),"")</f>
        <v/>
      </c>
      <c r="T18" s="30" t="str">
        <f>IFERROR(IF('IND-11'!G28="","",'IND-11'!G28),"")</f>
        <v/>
      </c>
      <c r="U18" s="30" t="str">
        <f>IFERROR(IF('IND-11'!G29="","",'IND-11'!G29),"")</f>
        <v/>
      </c>
      <c r="V18" s="30" t="str">
        <f>IFERROR(IF('IND-11'!G30="","",'IND-11'!G30),"")</f>
        <v/>
      </c>
      <c r="W18" s="30" t="str">
        <f>IFERROR(IF('IND-11'!G31="","",'IND-11'!G31),"")</f>
        <v/>
      </c>
      <c r="X18" s="30" t="str">
        <f>IFERROR(IF('IND-11'!G32="","",'IND-11'!G32),"")</f>
        <v/>
      </c>
      <c r="Y18" s="30" t="str">
        <f>IFERROR(IF('IND-11'!G33="","",'IND-11'!G33),"")</f>
        <v/>
      </c>
      <c r="Z18" s="30" t="str">
        <f>IFERROR(IF('IND-11'!G34="","",'IND-11'!G34),"")</f>
        <v/>
      </c>
      <c r="AA18" s="30" t="str">
        <f>IFERROR(IF('IND-11'!G35="","",'IND-11'!G35),"")</f>
        <v/>
      </c>
      <c r="AB18" s="30" t="str">
        <f>IFERROR(IF('IND-11'!G36="","",'IND-11'!G36),"")</f>
        <v/>
      </c>
      <c r="AC18" s="30" t="str">
        <f>IFERROR(IF('IND-11'!G37="","",'IND-11'!G37),"")</f>
        <v/>
      </c>
      <c r="AD18" s="30" t="str">
        <f>IFERROR(IF('IND-11'!G38="","",'IND-11'!G38),"")</f>
        <v/>
      </c>
      <c r="AE18" s="30" t="str">
        <f>IFERROR(IF('IND-11'!G39="","",'IND-11'!G39),"")</f>
        <v/>
      </c>
      <c r="AF18" s="30" t="str">
        <f>IFERROR(IF('IND-11'!G40="","",'IND-11'!G40),"")</f>
        <v/>
      </c>
      <c r="AG18" s="30" t="str">
        <f>IFERROR(IF('IND-11'!G41="","",'IND-11'!G41),"")</f>
        <v/>
      </c>
      <c r="AH18" s="30" t="str">
        <f>IFERROR(IF('IND-11'!G42="","",'IND-11'!G42),"")</f>
        <v/>
      </c>
      <c r="AI18" s="30" t="str">
        <f>IFERROR(IF('IND-11'!G43="","",'IND-11'!G43),"")</f>
        <v/>
      </c>
      <c r="AJ18" s="30" t="str">
        <f>IFERROR(IF('IND-11'!G44="","",'IND-11'!G44),"")</f>
        <v/>
      </c>
      <c r="AK18" s="30" t="str">
        <f>IFERROR(IF('IND-11'!G45="","",'IND-11'!G45),"")</f>
        <v/>
      </c>
      <c r="AL18" s="30" t="str">
        <f>IFERROR(IF('IND-11'!G46="","",'IND-11'!G46),"")</f>
        <v/>
      </c>
      <c r="AM18" s="30" t="str">
        <f>IFERROR(IF('IND-11'!G47="","",'IND-11'!G47),"")</f>
        <v/>
      </c>
      <c r="AN18" s="30" t="str">
        <f>IFERROR(IF('IND-11'!G48="","",'IND-11'!G48),"")</f>
        <v/>
      </c>
      <c r="AO18" s="30" t="str">
        <f>IFERROR(IF('IND-11'!G49="","",'IND-11'!G49),"")</f>
        <v/>
      </c>
      <c r="AP18" s="30" t="str">
        <f>IFERROR(IF('IND-11'!G50="","",'IND-11'!G50),"")</f>
        <v/>
      </c>
      <c r="AQ18" s="30" t="str">
        <f>IFERROR(IF('IND-11'!G51="","",'IND-11'!G51),"")</f>
        <v/>
      </c>
      <c r="AR18" s="30" t="str">
        <f>IFERROR(IF('IND-11'!G52="","",'IND-11'!G52),"")</f>
        <v/>
      </c>
      <c r="AS18" s="30" t="str">
        <f>IFERROR(IF('IND-11'!G53="","",'IND-11'!G53),"")</f>
        <v/>
      </c>
      <c r="AT18" s="30" t="str">
        <f>IFERROR(IF('IND-11'!G54="","",'IND-11'!G54),"")</f>
        <v/>
      </c>
      <c r="AU18" s="30" t="str">
        <f>IFERROR(IF('IND-11'!G55="","",'IND-11'!G55),"")</f>
        <v/>
      </c>
      <c r="AV18" s="30" t="str">
        <f>IFERROR(IF('IND-11'!G56="","",'IND-11'!G56),"")</f>
        <v/>
      </c>
      <c r="AW18" s="30" t="str">
        <f>IFERROR(IF('IND-11'!G57="","",'IND-11'!G57),"")</f>
        <v/>
      </c>
      <c r="AX18" s="30" t="str">
        <f>IFERROR(IF('IND-11'!G58="","",'IND-11'!G58),"")</f>
        <v/>
      </c>
      <c r="AY18" s="30" t="str">
        <f>IFERROR(IF('IND-11'!G59="","",'IND-11'!G59),"")</f>
        <v/>
      </c>
      <c r="AZ18" s="30" t="str">
        <f>IFERROR(IF('IND-11'!G60="","",'IND-11'!G60),"")</f>
        <v/>
      </c>
      <c r="BA18" s="30" t="str">
        <f>IFERROR(IF('IND-11'!G61="","",'IND-11'!G61),"")</f>
        <v/>
      </c>
      <c r="BB18" s="30" t="str">
        <f>IFERROR(IF('IND-11'!G62="","",'IND-11'!G62),"")</f>
        <v/>
      </c>
      <c r="BC18" s="30" t="str">
        <f>IFERROR(IF('IND-11'!G63="","",'IND-11'!G63),"")</f>
        <v/>
      </c>
      <c r="BD18" s="30" t="str">
        <f>IFERROR(IF('IND-11'!G64="","",'IND-11'!G64),"")</f>
        <v/>
      </c>
      <c r="BE18" s="30" t="str">
        <f>IFERROR(IF('IND-11'!G65="","",'IND-11'!G65),"")</f>
        <v/>
      </c>
      <c r="BF18" s="30" t="str">
        <f>IFERROR(IF('IND-11'!G66="","",'IND-11'!G66),"")</f>
        <v/>
      </c>
      <c r="BG18" s="30" t="str">
        <f>IFERROR(IF('IND-11'!G67="","",'IND-11'!G67),"")</f>
        <v/>
      </c>
      <c r="BH18" s="30" t="str">
        <f>IFERROR(IF('IND-11'!G68="","",'IND-11'!G68),"")</f>
        <v/>
      </c>
      <c r="BI18" s="30" t="str">
        <f>IFERROR(IF('IND-11'!G69="","",'IND-11'!G69),"")</f>
        <v/>
      </c>
      <c r="BJ18" s="30" t="str">
        <f>IFERROR(IF('IND-11'!G70="","",'IND-11'!G70),"")</f>
        <v/>
      </c>
      <c r="BK18" s="30" t="str">
        <f>IFERROR(IF('IND-11'!G71="","",'IND-11'!G71),"")</f>
        <v/>
      </c>
      <c r="BL18" s="30" t="str">
        <f>IFERROR(IF('IND-11'!G72="","",'IND-11'!G72),"")</f>
        <v/>
      </c>
      <c r="BM18" s="30" t="str">
        <f>IFERROR(IF('IND-11'!G73="","",'IND-11'!G73),"")</f>
        <v/>
      </c>
      <c r="BN18" s="30" t="str">
        <f>IFERROR(IF('IND-11'!G74="","",'IND-11'!G74),"")</f>
        <v/>
      </c>
      <c r="BO18" s="30" t="str">
        <f>IFERROR(IF('IND-11'!G75="","",'IND-11'!G75),"")</f>
        <v/>
      </c>
      <c r="BP18" s="30" t="str">
        <f>IFERROR(IF('IND-11'!G76="","",'IND-11'!G76),"")</f>
        <v/>
      </c>
      <c r="BQ18" s="30" t="str">
        <f>IFERROR(IF('IND-11'!G77="","",'IND-11'!G77),"")</f>
        <v/>
      </c>
      <c r="BR18" s="30" t="str">
        <f>IFERROR(IF('IND-11'!G78="","",'IND-11'!G78),"")</f>
        <v/>
      </c>
      <c r="BS18" s="30" t="str">
        <f>IFERROR(IF('IND-11'!G79="","",'IND-11'!G79),"")</f>
        <v/>
      </c>
      <c r="BT18" s="30" t="str">
        <f>IFERROR(IF('IND-11'!G80="","",'IND-11'!G80),"")</f>
        <v/>
      </c>
      <c r="BU18" s="30" t="str">
        <f>IFERROR(IF('IND-11'!G81="","",'IND-11'!G81),"")</f>
        <v/>
      </c>
      <c r="BV18" s="30" t="str">
        <f>IFERROR(IF('IND-11'!G82="","",'IND-11'!G82),"")</f>
        <v/>
      </c>
      <c r="BW18" s="31" t="str">
        <f>IFERROR(AVERAGE('IND-11'!I23:I34),"")</f>
        <v/>
      </c>
      <c r="BX18" s="31" t="str">
        <f>IFERROR(AVERAGE('IND-11'!I35:I46),"")</f>
        <v/>
      </c>
      <c r="BY18" s="31" t="str">
        <f>IFERROR(AVERAGE('IND-11'!I47:I58),"")</f>
        <v/>
      </c>
      <c r="BZ18" s="31" t="str">
        <f>IFERROR(AVERAGE('IND-11'!I59:I70),"")</f>
        <v/>
      </c>
      <c r="CA18" s="31" t="str">
        <f>IFERROR(AVERAGE('IND-11'!I71:I82),"")</f>
        <v/>
      </c>
      <c r="CB18" s="32" t="str">
        <f t="shared" si="0"/>
        <v>⚪ Pendiente</v>
      </c>
    </row>
    <row r="19" spans="2:80" ht="37.5" customHeight="1" x14ac:dyDescent="0.35">
      <c r="B19" s="23" t="s">
        <v>58</v>
      </c>
      <c r="C19" s="24" t="s">
        <v>63</v>
      </c>
      <c r="D19" s="25" t="s">
        <v>166</v>
      </c>
      <c r="E19" s="25" t="s">
        <v>167</v>
      </c>
      <c r="F19" s="26" t="s">
        <v>139</v>
      </c>
      <c r="G19" s="27" t="s">
        <v>160</v>
      </c>
      <c r="H19" s="26" t="s">
        <v>38</v>
      </c>
      <c r="I19" s="28" t="str">
        <f>VLOOKUP("IND-12",Parámetros!$B$6:$F$30,5,FALSE())</f>
        <v>Por definir</v>
      </c>
      <c r="J19" s="29">
        <f>'IND-12'!C14</f>
        <v>0.15</v>
      </c>
      <c r="K19" s="29">
        <f>'IND-12'!C15</f>
        <v>0.15</v>
      </c>
      <c r="L19" s="29">
        <f>'IND-12'!C16</f>
        <v>0.15</v>
      </c>
      <c r="M19" s="29">
        <f>'IND-12'!C17</f>
        <v>0.15</v>
      </c>
      <c r="N19" s="29">
        <f>'IND-12'!C18</f>
        <v>0.15</v>
      </c>
      <c r="O19" s="30" t="str">
        <f>IFERROR(IF('IND-12'!I23="","",'IND-12'!I23),"")</f>
        <v/>
      </c>
      <c r="P19" s="30" t="str">
        <f>IFERROR(IF('IND-12'!I24="","",'IND-12'!I24),"")</f>
        <v/>
      </c>
      <c r="Q19" s="30" t="str">
        <f>IFERROR(IF('IND-12'!I25="","",'IND-12'!I25),"")</f>
        <v/>
      </c>
      <c r="R19" s="30" t="str">
        <f>IFERROR(IF('IND-12'!I26="","",'IND-12'!I26),"")</f>
        <v/>
      </c>
      <c r="S19" s="30" t="str">
        <f>IFERROR(IF('IND-12'!I27="","",'IND-12'!I27),"")</f>
        <v/>
      </c>
      <c r="T19" s="30" t="str">
        <f>IFERROR(IF('IND-12'!I28="","",'IND-12'!I28),"")</f>
        <v/>
      </c>
      <c r="U19" s="30" t="str">
        <f>IFERROR(IF('IND-12'!I29="","",'IND-12'!I29),"")</f>
        <v/>
      </c>
      <c r="V19" s="30" t="str">
        <f>IFERROR(IF('IND-12'!I30="","",'IND-12'!I30),"")</f>
        <v/>
      </c>
      <c r="W19" s="30" t="str">
        <f>IFERROR(IF('IND-12'!I31="","",'IND-12'!I31),"")</f>
        <v/>
      </c>
      <c r="X19" s="30" t="str">
        <f>IFERROR(IF('IND-12'!I32="","",'IND-12'!I32),"")</f>
        <v/>
      </c>
      <c r="Y19" s="30" t="str">
        <f>IFERROR(IF('IND-12'!I33="","",'IND-12'!I33),"")</f>
        <v/>
      </c>
      <c r="Z19" s="30" t="str">
        <f>IFERROR(IF('IND-12'!I34="","",'IND-12'!I34),"")</f>
        <v/>
      </c>
      <c r="AA19" s="30" t="str">
        <f>IFERROR(IF('IND-12'!I35="","",'IND-12'!I35),"")</f>
        <v/>
      </c>
      <c r="AB19" s="30" t="str">
        <f>IFERROR(IF('IND-12'!I36="","",'IND-12'!I36),"")</f>
        <v/>
      </c>
      <c r="AC19" s="30" t="str">
        <f>IFERROR(IF('IND-12'!I37="","",'IND-12'!I37),"")</f>
        <v/>
      </c>
      <c r="AD19" s="30" t="str">
        <f>IFERROR(IF('IND-12'!I38="","",'IND-12'!I38),"")</f>
        <v/>
      </c>
      <c r="AE19" s="30" t="str">
        <f>IFERROR(IF('IND-12'!I39="","",'IND-12'!I39),"")</f>
        <v/>
      </c>
      <c r="AF19" s="30" t="str">
        <f>IFERROR(IF('IND-12'!I40="","",'IND-12'!I40),"")</f>
        <v/>
      </c>
      <c r="AG19" s="30" t="str">
        <f>IFERROR(IF('IND-12'!I41="","",'IND-12'!I41),"")</f>
        <v/>
      </c>
      <c r="AH19" s="30" t="str">
        <f>IFERROR(IF('IND-12'!I42="","",'IND-12'!I42),"")</f>
        <v/>
      </c>
      <c r="AI19" s="30" t="str">
        <f>IFERROR(IF('IND-12'!I43="","",'IND-12'!I43),"")</f>
        <v/>
      </c>
      <c r="AJ19" s="30" t="str">
        <f>IFERROR(IF('IND-12'!I44="","",'IND-12'!I44),"")</f>
        <v/>
      </c>
      <c r="AK19" s="30" t="str">
        <f>IFERROR(IF('IND-12'!I45="","",'IND-12'!I45),"")</f>
        <v/>
      </c>
      <c r="AL19" s="30" t="str">
        <f>IFERROR(IF('IND-12'!I46="","",'IND-12'!I46),"")</f>
        <v/>
      </c>
      <c r="AM19" s="30" t="str">
        <f>IFERROR(IF('IND-12'!I47="","",'IND-12'!I47),"")</f>
        <v/>
      </c>
      <c r="AN19" s="30" t="str">
        <f>IFERROR(IF('IND-12'!I48="","",'IND-12'!I48),"")</f>
        <v/>
      </c>
      <c r="AO19" s="30" t="str">
        <f>IFERROR(IF('IND-12'!I49="","",'IND-12'!I49),"")</f>
        <v/>
      </c>
      <c r="AP19" s="30" t="str">
        <f>IFERROR(IF('IND-12'!I50="","",'IND-12'!I50),"")</f>
        <v/>
      </c>
      <c r="AQ19" s="30" t="str">
        <f>IFERROR(IF('IND-12'!I51="","",'IND-12'!I51),"")</f>
        <v/>
      </c>
      <c r="AR19" s="30" t="str">
        <f>IFERROR(IF('IND-12'!I52="","",'IND-12'!I52),"")</f>
        <v/>
      </c>
      <c r="AS19" s="30" t="str">
        <f>IFERROR(IF('IND-12'!I53="","",'IND-12'!I53),"")</f>
        <v/>
      </c>
      <c r="AT19" s="30" t="str">
        <f>IFERROR(IF('IND-12'!I54="","",'IND-12'!I54),"")</f>
        <v/>
      </c>
      <c r="AU19" s="30" t="str">
        <f>IFERROR(IF('IND-12'!I55="","",'IND-12'!I55),"")</f>
        <v/>
      </c>
      <c r="AV19" s="30" t="str">
        <f>IFERROR(IF('IND-12'!I56="","",'IND-12'!I56),"")</f>
        <v/>
      </c>
      <c r="AW19" s="30" t="str">
        <f>IFERROR(IF('IND-12'!I57="","",'IND-12'!I57),"")</f>
        <v/>
      </c>
      <c r="AX19" s="30" t="str">
        <f>IFERROR(IF('IND-12'!I58="","",'IND-12'!I58),"")</f>
        <v/>
      </c>
      <c r="AY19" s="30" t="str">
        <f>IFERROR(IF('IND-12'!I59="","",'IND-12'!I59),"")</f>
        <v/>
      </c>
      <c r="AZ19" s="30" t="str">
        <f>IFERROR(IF('IND-12'!I60="","",'IND-12'!I60),"")</f>
        <v/>
      </c>
      <c r="BA19" s="30" t="str">
        <f>IFERROR(IF('IND-12'!I61="","",'IND-12'!I61),"")</f>
        <v/>
      </c>
      <c r="BB19" s="30" t="str">
        <f>IFERROR(IF('IND-12'!I62="","",'IND-12'!I62),"")</f>
        <v/>
      </c>
      <c r="BC19" s="30" t="str">
        <f>IFERROR(IF('IND-12'!I63="","",'IND-12'!I63),"")</f>
        <v/>
      </c>
      <c r="BD19" s="30" t="str">
        <f>IFERROR(IF('IND-12'!I64="","",'IND-12'!I64),"")</f>
        <v/>
      </c>
      <c r="BE19" s="30" t="str">
        <f>IFERROR(IF('IND-12'!I65="","",'IND-12'!I65),"")</f>
        <v/>
      </c>
      <c r="BF19" s="30" t="str">
        <f>IFERROR(IF('IND-12'!I66="","",'IND-12'!I66),"")</f>
        <v/>
      </c>
      <c r="BG19" s="30" t="str">
        <f>IFERROR(IF('IND-12'!I67="","",'IND-12'!I67),"")</f>
        <v/>
      </c>
      <c r="BH19" s="30" t="str">
        <f>IFERROR(IF('IND-12'!I68="","",'IND-12'!I68),"")</f>
        <v/>
      </c>
      <c r="BI19" s="30" t="str">
        <f>IFERROR(IF('IND-12'!I69="","",'IND-12'!I69),"")</f>
        <v/>
      </c>
      <c r="BJ19" s="30" t="str">
        <f>IFERROR(IF('IND-12'!I70="","",'IND-12'!I70),"")</f>
        <v/>
      </c>
      <c r="BK19" s="30" t="str">
        <f>IFERROR(IF('IND-12'!I71="","",'IND-12'!I71),"")</f>
        <v/>
      </c>
      <c r="BL19" s="30" t="str">
        <f>IFERROR(IF('IND-12'!I72="","",'IND-12'!I72),"")</f>
        <v/>
      </c>
      <c r="BM19" s="30" t="str">
        <f>IFERROR(IF('IND-12'!I73="","",'IND-12'!I73),"")</f>
        <v/>
      </c>
      <c r="BN19" s="30" t="str">
        <f>IFERROR(IF('IND-12'!I74="","",'IND-12'!I74),"")</f>
        <v/>
      </c>
      <c r="BO19" s="30" t="str">
        <f>IFERROR(IF('IND-12'!I75="","",'IND-12'!I75),"")</f>
        <v/>
      </c>
      <c r="BP19" s="30" t="str">
        <f>IFERROR(IF('IND-12'!I76="","",'IND-12'!I76),"")</f>
        <v/>
      </c>
      <c r="BQ19" s="30" t="str">
        <f>IFERROR(IF('IND-12'!I77="","",'IND-12'!I77),"")</f>
        <v/>
      </c>
      <c r="BR19" s="30" t="str">
        <f>IFERROR(IF('IND-12'!I78="","",'IND-12'!I78),"")</f>
        <v/>
      </c>
      <c r="BS19" s="30" t="str">
        <f>IFERROR(IF('IND-12'!I79="","",'IND-12'!I79),"")</f>
        <v/>
      </c>
      <c r="BT19" s="30" t="str">
        <f>IFERROR(IF('IND-12'!I80="","",'IND-12'!I80),"")</f>
        <v/>
      </c>
      <c r="BU19" s="30" t="str">
        <f>IFERROR(IF('IND-12'!I81="","",'IND-12'!I81),"")</f>
        <v/>
      </c>
      <c r="BV19" s="30" t="str">
        <f>IFERROR(IF('IND-12'!I82="","",'IND-12'!I82),"")</f>
        <v/>
      </c>
      <c r="BW19" s="31" t="str">
        <f>IFERROR(AVERAGE('IND-12'!K23:K34),"")</f>
        <v/>
      </c>
      <c r="BX19" s="31" t="str">
        <f>IFERROR(AVERAGE('IND-12'!K35:K46),"")</f>
        <v/>
      </c>
      <c r="BY19" s="31" t="str">
        <f>IFERROR(AVERAGE('IND-12'!K47:K58),"")</f>
        <v/>
      </c>
      <c r="BZ19" s="31" t="str">
        <f>IFERROR(AVERAGE('IND-12'!K59:K70),"")</f>
        <v/>
      </c>
      <c r="CA19" s="31" t="str">
        <f>IFERROR(AVERAGE('IND-12'!K71:K82),"")</f>
        <v/>
      </c>
      <c r="CB19" s="32" t="str">
        <f t="shared" si="0"/>
        <v>⚪ Pendiente</v>
      </c>
    </row>
    <row r="20" spans="2:80" ht="37.5" customHeight="1" x14ac:dyDescent="0.35">
      <c r="B20" s="23" t="s">
        <v>58</v>
      </c>
      <c r="C20" s="24" t="s">
        <v>65</v>
      </c>
      <c r="D20" s="25" t="s">
        <v>168</v>
      </c>
      <c r="E20" s="25" t="s">
        <v>169</v>
      </c>
      <c r="F20" s="26" t="s">
        <v>139</v>
      </c>
      <c r="G20" s="27" t="s">
        <v>160</v>
      </c>
      <c r="H20" s="26" t="s">
        <v>38</v>
      </c>
      <c r="I20" s="28" t="str">
        <f>VLOOKUP("IND-13",Parámetros!$B$6:$F$30,5,FALSE())</f>
        <v>Por definir</v>
      </c>
      <c r="J20" s="35" t="str">
        <f>'IND-13'!C14</f>
        <v>&gt; IPC</v>
      </c>
      <c r="K20" s="35" t="str">
        <f>'IND-13'!C15</f>
        <v>&gt; IPC</v>
      </c>
      <c r="L20" s="35" t="str">
        <f>'IND-13'!C16</f>
        <v>&gt; IPC</v>
      </c>
      <c r="M20" s="35" t="str">
        <f>'IND-13'!C17</f>
        <v>&gt; IPC</v>
      </c>
      <c r="N20" s="35" t="str">
        <f>'IND-13'!C18</f>
        <v>&gt; IPC</v>
      </c>
      <c r="O20" s="36" t="str">
        <f>IFERROR(IF('IND-13'!G23="","",'IND-13'!G23),"")</f>
        <v/>
      </c>
      <c r="P20" s="36" t="str">
        <f>IFERROR(IF('IND-13'!G24="","",'IND-13'!G24),"")</f>
        <v/>
      </c>
      <c r="Q20" s="36" t="str">
        <f>IFERROR(IF('IND-13'!G25="","",'IND-13'!G25),"")</f>
        <v/>
      </c>
      <c r="R20" s="36" t="str">
        <f>IFERROR(IF('IND-13'!G26="","",'IND-13'!G26),"")</f>
        <v/>
      </c>
      <c r="S20" s="36" t="str">
        <f>IFERROR(IF('IND-13'!G27="","",'IND-13'!G27),"")</f>
        <v/>
      </c>
      <c r="T20" s="36" t="str">
        <f>IFERROR(IF('IND-13'!G28="","",'IND-13'!G28),"")</f>
        <v/>
      </c>
      <c r="U20" s="36" t="str">
        <f>IFERROR(IF('IND-13'!G29="","",'IND-13'!G29),"")</f>
        <v/>
      </c>
      <c r="V20" s="36" t="str">
        <f>IFERROR(IF('IND-13'!G30="","",'IND-13'!G30),"")</f>
        <v/>
      </c>
      <c r="W20" s="36" t="str">
        <f>IFERROR(IF('IND-13'!G31="","",'IND-13'!G31),"")</f>
        <v/>
      </c>
      <c r="X20" s="36" t="str">
        <f>IFERROR(IF('IND-13'!G32="","",'IND-13'!G32),"")</f>
        <v/>
      </c>
      <c r="Y20" s="36" t="str">
        <f>IFERROR(IF('IND-13'!G33="","",'IND-13'!G33),"")</f>
        <v/>
      </c>
      <c r="Z20" s="36" t="str">
        <f>IFERROR(IF('IND-13'!G34="","",'IND-13'!G34),"")</f>
        <v/>
      </c>
      <c r="AA20" s="36" t="str">
        <f>IFERROR(IF('IND-13'!G35="","",'IND-13'!G35),"")</f>
        <v/>
      </c>
      <c r="AB20" s="36" t="str">
        <f>IFERROR(IF('IND-13'!G36="","",'IND-13'!G36),"")</f>
        <v/>
      </c>
      <c r="AC20" s="36" t="str">
        <f>IFERROR(IF('IND-13'!G37="","",'IND-13'!G37),"")</f>
        <v/>
      </c>
      <c r="AD20" s="36" t="str">
        <f>IFERROR(IF('IND-13'!G38="","",'IND-13'!G38),"")</f>
        <v/>
      </c>
      <c r="AE20" s="36" t="str">
        <f>IFERROR(IF('IND-13'!G39="","",'IND-13'!G39),"")</f>
        <v/>
      </c>
      <c r="AF20" s="36" t="str">
        <f>IFERROR(IF('IND-13'!G40="","",'IND-13'!G40),"")</f>
        <v/>
      </c>
      <c r="AG20" s="36" t="str">
        <f>IFERROR(IF('IND-13'!G41="","",'IND-13'!G41),"")</f>
        <v/>
      </c>
      <c r="AH20" s="36" t="str">
        <f>IFERROR(IF('IND-13'!G42="","",'IND-13'!G42),"")</f>
        <v/>
      </c>
      <c r="AI20" s="36" t="str">
        <f>IFERROR(IF('IND-13'!G43="","",'IND-13'!G43),"")</f>
        <v/>
      </c>
      <c r="AJ20" s="36" t="str">
        <f>IFERROR(IF('IND-13'!G44="","",'IND-13'!G44),"")</f>
        <v/>
      </c>
      <c r="AK20" s="36" t="str">
        <f>IFERROR(IF('IND-13'!G45="","",'IND-13'!G45),"")</f>
        <v/>
      </c>
      <c r="AL20" s="36" t="str">
        <f>IFERROR(IF('IND-13'!G46="","",'IND-13'!G46),"")</f>
        <v/>
      </c>
      <c r="AM20" s="36" t="str">
        <f>IFERROR(IF('IND-13'!G47="","",'IND-13'!G47),"")</f>
        <v/>
      </c>
      <c r="AN20" s="36" t="str">
        <f>IFERROR(IF('IND-13'!G48="","",'IND-13'!G48),"")</f>
        <v/>
      </c>
      <c r="AO20" s="36" t="str">
        <f>IFERROR(IF('IND-13'!G49="","",'IND-13'!G49),"")</f>
        <v/>
      </c>
      <c r="AP20" s="36" t="str">
        <f>IFERROR(IF('IND-13'!G50="","",'IND-13'!G50),"")</f>
        <v/>
      </c>
      <c r="AQ20" s="36" t="str">
        <f>IFERROR(IF('IND-13'!G51="","",'IND-13'!G51),"")</f>
        <v/>
      </c>
      <c r="AR20" s="36" t="str">
        <f>IFERROR(IF('IND-13'!G52="","",'IND-13'!G52),"")</f>
        <v/>
      </c>
      <c r="AS20" s="36" t="str">
        <f>IFERROR(IF('IND-13'!G53="","",'IND-13'!G53),"")</f>
        <v/>
      </c>
      <c r="AT20" s="36" t="str">
        <f>IFERROR(IF('IND-13'!G54="","",'IND-13'!G54),"")</f>
        <v/>
      </c>
      <c r="AU20" s="36" t="str">
        <f>IFERROR(IF('IND-13'!G55="","",'IND-13'!G55),"")</f>
        <v/>
      </c>
      <c r="AV20" s="36" t="str">
        <f>IFERROR(IF('IND-13'!G56="","",'IND-13'!G56),"")</f>
        <v/>
      </c>
      <c r="AW20" s="36" t="str">
        <f>IFERROR(IF('IND-13'!G57="","",'IND-13'!G57),"")</f>
        <v/>
      </c>
      <c r="AX20" s="36" t="str">
        <f>IFERROR(IF('IND-13'!G58="","",'IND-13'!G58),"")</f>
        <v/>
      </c>
      <c r="AY20" s="36" t="str">
        <f>IFERROR(IF('IND-13'!G59="","",'IND-13'!G59),"")</f>
        <v/>
      </c>
      <c r="AZ20" s="36" t="str">
        <f>IFERROR(IF('IND-13'!G60="","",'IND-13'!G60),"")</f>
        <v/>
      </c>
      <c r="BA20" s="36" t="str">
        <f>IFERROR(IF('IND-13'!G61="","",'IND-13'!G61),"")</f>
        <v/>
      </c>
      <c r="BB20" s="36" t="str">
        <f>IFERROR(IF('IND-13'!G62="","",'IND-13'!G62),"")</f>
        <v/>
      </c>
      <c r="BC20" s="36" t="str">
        <f>IFERROR(IF('IND-13'!G63="","",'IND-13'!G63),"")</f>
        <v/>
      </c>
      <c r="BD20" s="36" t="str">
        <f>IFERROR(IF('IND-13'!G64="","",'IND-13'!G64),"")</f>
        <v/>
      </c>
      <c r="BE20" s="36" t="str">
        <f>IFERROR(IF('IND-13'!G65="","",'IND-13'!G65),"")</f>
        <v/>
      </c>
      <c r="BF20" s="36" t="str">
        <f>IFERROR(IF('IND-13'!G66="","",'IND-13'!G66),"")</f>
        <v/>
      </c>
      <c r="BG20" s="36" t="str">
        <f>IFERROR(IF('IND-13'!G67="","",'IND-13'!G67),"")</f>
        <v/>
      </c>
      <c r="BH20" s="36" t="str">
        <f>IFERROR(IF('IND-13'!G68="","",'IND-13'!G68),"")</f>
        <v/>
      </c>
      <c r="BI20" s="36" t="str">
        <f>IFERROR(IF('IND-13'!G69="","",'IND-13'!G69),"")</f>
        <v/>
      </c>
      <c r="BJ20" s="36" t="str">
        <f>IFERROR(IF('IND-13'!G70="","",'IND-13'!G70),"")</f>
        <v/>
      </c>
      <c r="BK20" s="36" t="str">
        <f>IFERROR(IF('IND-13'!G71="","",'IND-13'!G71),"")</f>
        <v/>
      </c>
      <c r="BL20" s="36" t="str">
        <f>IFERROR(IF('IND-13'!G72="","",'IND-13'!G72),"")</f>
        <v/>
      </c>
      <c r="BM20" s="36" t="str">
        <f>IFERROR(IF('IND-13'!G73="","",'IND-13'!G73),"")</f>
        <v/>
      </c>
      <c r="BN20" s="36" t="str">
        <f>IFERROR(IF('IND-13'!G74="","",'IND-13'!G74),"")</f>
        <v/>
      </c>
      <c r="BO20" s="36" t="str">
        <f>IFERROR(IF('IND-13'!G75="","",'IND-13'!G75),"")</f>
        <v/>
      </c>
      <c r="BP20" s="36" t="str">
        <f>IFERROR(IF('IND-13'!G76="","",'IND-13'!G76),"")</f>
        <v/>
      </c>
      <c r="BQ20" s="36" t="str">
        <f>IFERROR(IF('IND-13'!G77="","",'IND-13'!G77),"")</f>
        <v/>
      </c>
      <c r="BR20" s="36" t="str">
        <f>IFERROR(IF('IND-13'!G78="","",'IND-13'!G78),"")</f>
        <v/>
      </c>
      <c r="BS20" s="36" t="str">
        <f>IFERROR(IF('IND-13'!G79="","",'IND-13'!G79),"")</f>
        <v/>
      </c>
      <c r="BT20" s="36" t="str">
        <f>IFERROR(IF('IND-13'!G80="","",'IND-13'!G80),"")</f>
        <v/>
      </c>
      <c r="BU20" s="36" t="str">
        <f>IFERROR(IF('IND-13'!G81="","",'IND-13'!G81),"")</f>
        <v/>
      </c>
      <c r="BV20" s="36" t="str">
        <f>IFERROR(IF('IND-13'!G82="","",'IND-13'!G82),"")</f>
        <v/>
      </c>
      <c r="BW20" s="31" t="str">
        <f>IFERROR(AVERAGE('IND-13'!I23:I34),"")</f>
        <v/>
      </c>
      <c r="BX20" s="31" t="str">
        <f>IFERROR(AVERAGE('IND-13'!I35:I46),"")</f>
        <v/>
      </c>
      <c r="BY20" s="31" t="str">
        <f>IFERROR(AVERAGE('IND-13'!I47:I58),"")</f>
        <v/>
      </c>
      <c r="BZ20" s="31" t="str">
        <f>IFERROR(AVERAGE('IND-13'!I59:I70),"")</f>
        <v/>
      </c>
      <c r="CA20" s="31" t="str">
        <f>IFERROR(AVERAGE('IND-13'!I71:I82),"")</f>
        <v/>
      </c>
      <c r="CB20" s="32" t="str">
        <f t="shared" si="0"/>
        <v>⚪ Pendiente</v>
      </c>
    </row>
    <row r="21" spans="2:80" ht="21.75" customHeight="1" x14ac:dyDescent="0.35">
      <c r="B21" s="77" t="s">
        <v>170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</row>
    <row r="22" spans="2:80" ht="37.5" customHeight="1" x14ac:dyDescent="0.35">
      <c r="B22" s="23" t="s">
        <v>68</v>
      </c>
      <c r="C22" s="24" t="s">
        <v>68</v>
      </c>
      <c r="D22" s="25" t="s">
        <v>171</v>
      </c>
      <c r="E22" s="25" t="s">
        <v>172</v>
      </c>
      <c r="F22" s="26" t="s">
        <v>173</v>
      </c>
      <c r="G22" s="39" t="s">
        <v>140</v>
      </c>
      <c r="H22" s="26" t="s">
        <v>69</v>
      </c>
      <c r="I22" s="28" t="str">
        <f>VLOOKUP("IND-14",Parámetros!$B$6:$F$30,5,FALSE())</f>
        <v>Por definir</v>
      </c>
      <c r="J22" s="40">
        <f>'IND-14'!C14</f>
        <v>5846</v>
      </c>
      <c r="K22" s="40">
        <f>'IND-14'!C15</f>
        <v>6384</v>
      </c>
      <c r="L22" s="40">
        <f>'IND-14'!C16</f>
        <v>6923</v>
      </c>
      <c r="M22" s="40">
        <f>'IND-14'!C17</f>
        <v>7461</v>
      </c>
      <c r="N22" s="40">
        <f>'IND-14'!C18</f>
        <v>8000</v>
      </c>
      <c r="O22" s="41" t="str">
        <f>IFERROR(IF('IND-14'!F23="","",'IND-14'!F23),"")</f>
        <v/>
      </c>
      <c r="P22" s="41" t="str">
        <f>IFERROR(IF('IND-14'!F24="","",'IND-14'!F24),"")</f>
        <v/>
      </c>
      <c r="Q22" s="41" t="str">
        <f>IFERROR(IF('IND-14'!F25="","",'IND-14'!F25),"")</f>
        <v/>
      </c>
      <c r="R22" s="41" t="str">
        <f>IFERROR(IF('IND-14'!F26="","",'IND-14'!F26),"")</f>
        <v/>
      </c>
      <c r="S22" s="41" t="str">
        <f>IFERROR(IF('IND-14'!F27="","",'IND-14'!F27),"")</f>
        <v/>
      </c>
      <c r="T22" s="42">
        <f>IFERROR(IF('IND-14'!F28="","",'IND-14'!F28),"")</f>
        <v>5500</v>
      </c>
      <c r="U22" s="41" t="str">
        <f>IFERROR(IF('IND-14'!F29="","",'IND-14'!F29),"")</f>
        <v/>
      </c>
      <c r="V22" s="41" t="str">
        <f>IFERROR(IF('IND-14'!F30="","",'IND-14'!F30),"")</f>
        <v/>
      </c>
      <c r="W22" s="41" t="str">
        <f>IFERROR(IF('IND-14'!F31="","",'IND-14'!F31),"")</f>
        <v/>
      </c>
      <c r="X22" s="41" t="str">
        <f>IFERROR(IF('IND-14'!F32="","",'IND-14'!F32),"")</f>
        <v/>
      </c>
      <c r="Y22" s="41" t="str">
        <f>IFERROR(IF('IND-14'!F33="","",'IND-14'!F33),"")</f>
        <v/>
      </c>
      <c r="Z22" s="42">
        <f>IFERROR(IF('IND-14'!F34="","",'IND-14'!F34),"")</f>
        <v>5846</v>
      </c>
      <c r="AA22" s="41" t="str">
        <f>IFERROR(IF('IND-14'!F35="","",'IND-14'!F35),"")</f>
        <v/>
      </c>
      <c r="AB22" s="41" t="str">
        <f>IFERROR(IF('IND-14'!F36="","",'IND-14'!F36),"")</f>
        <v/>
      </c>
      <c r="AC22" s="41" t="str">
        <f>IFERROR(IF('IND-14'!F37="","",'IND-14'!F37),"")</f>
        <v/>
      </c>
      <c r="AD22" s="41" t="str">
        <f>IFERROR(IF('IND-14'!F38="","",'IND-14'!F38),"")</f>
        <v/>
      </c>
      <c r="AE22" s="41" t="str">
        <f>IFERROR(IF('IND-14'!F39="","",'IND-14'!F39),"")</f>
        <v/>
      </c>
      <c r="AF22" s="42">
        <f>IFERROR(IF('IND-14'!F40="","",'IND-14'!F40),"")</f>
        <v>6100</v>
      </c>
      <c r="AG22" s="41" t="str">
        <f>IFERROR(IF('IND-14'!F41="","",'IND-14'!F41),"")</f>
        <v/>
      </c>
      <c r="AH22" s="41" t="str">
        <f>IFERROR(IF('IND-14'!F42="","",'IND-14'!F42),"")</f>
        <v/>
      </c>
      <c r="AI22" s="41" t="str">
        <f>IFERROR(IF('IND-14'!F43="","",'IND-14'!F43),"")</f>
        <v/>
      </c>
      <c r="AJ22" s="41" t="str">
        <f>IFERROR(IF('IND-14'!F44="","",'IND-14'!F44),"")</f>
        <v/>
      </c>
      <c r="AK22" s="41" t="str">
        <f>IFERROR(IF('IND-14'!F45="","",'IND-14'!F45),"")</f>
        <v/>
      </c>
      <c r="AL22" s="42">
        <f>IFERROR(IF('IND-14'!F46="","",'IND-14'!F46),"")</f>
        <v>6384</v>
      </c>
      <c r="AM22" s="41" t="str">
        <f>IFERROR(IF('IND-14'!F47="","",'IND-14'!F47),"")</f>
        <v/>
      </c>
      <c r="AN22" s="41" t="str">
        <f>IFERROR(IF('IND-14'!F48="","",'IND-14'!F48),"")</f>
        <v/>
      </c>
      <c r="AO22" s="41" t="str">
        <f>IFERROR(IF('IND-14'!F49="","",'IND-14'!F49),"")</f>
        <v/>
      </c>
      <c r="AP22" s="41" t="str">
        <f>IFERROR(IF('IND-14'!F50="","",'IND-14'!F50),"")</f>
        <v/>
      </c>
      <c r="AQ22" s="41" t="str">
        <f>IFERROR(IF('IND-14'!F51="","",'IND-14'!F51),"")</f>
        <v/>
      </c>
      <c r="AR22" s="42" t="str">
        <f>IFERROR(IF('IND-14'!F52="","",'IND-14'!F52),"")</f>
        <v/>
      </c>
      <c r="AS22" s="41" t="str">
        <f>IFERROR(IF('IND-14'!F53="","",'IND-14'!F53),"")</f>
        <v/>
      </c>
      <c r="AT22" s="41" t="str">
        <f>IFERROR(IF('IND-14'!F54="","",'IND-14'!F54),"")</f>
        <v/>
      </c>
      <c r="AU22" s="41" t="str">
        <f>IFERROR(IF('IND-14'!F55="","",'IND-14'!F55),"")</f>
        <v/>
      </c>
      <c r="AV22" s="41" t="str">
        <f>IFERROR(IF('IND-14'!F56="","",'IND-14'!F56),"")</f>
        <v/>
      </c>
      <c r="AW22" s="41" t="str">
        <f>IFERROR(IF('IND-14'!F57="","",'IND-14'!F57),"")</f>
        <v/>
      </c>
      <c r="AX22" s="42" t="str">
        <f>IFERROR(IF('IND-14'!F58="","",'IND-14'!F58),"")</f>
        <v/>
      </c>
      <c r="AY22" s="41" t="str">
        <f>IFERROR(IF('IND-14'!F59="","",'IND-14'!F59),"")</f>
        <v/>
      </c>
      <c r="AZ22" s="41" t="str">
        <f>IFERROR(IF('IND-14'!F60="","",'IND-14'!F60),"")</f>
        <v/>
      </c>
      <c r="BA22" s="41" t="str">
        <f>IFERROR(IF('IND-14'!F61="","",'IND-14'!F61),"")</f>
        <v/>
      </c>
      <c r="BB22" s="41" t="str">
        <f>IFERROR(IF('IND-14'!F62="","",'IND-14'!F62),"")</f>
        <v/>
      </c>
      <c r="BC22" s="41" t="str">
        <f>IFERROR(IF('IND-14'!F63="","",'IND-14'!F63),"")</f>
        <v/>
      </c>
      <c r="BD22" s="42" t="str">
        <f>IFERROR(IF('IND-14'!F64="","",'IND-14'!F64),"")</f>
        <v/>
      </c>
      <c r="BE22" s="41" t="str">
        <f>IFERROR(IF('IND-14'!F65="","",'IND-14'!F65),"")</f>
        <v/>
      </c>
      <c r="BF22" s="41" t="str">
        <f>IFERROR(IF('IND-14'!F66="","",'IND-14'!F66),"")</f>
        <v/>
      </c>
      <c r="BG22" s="41" t="str">
        <f>IFERROR(IF('IND-14'!F67="","",'IND-14'!F67),"")</f>
        <v/>
      </c>
      <c r="BH22" s="41" t="str">
        <f>IFERROR(IF('IND-14'!F68="","",'IND-14'!F68),"")</f>
        <v/>
      </c>
      <c r="BI22" s="41" t="str">
        <f>IFERROR(IF('IND-14'!F69="","",'IND-14'!F69),"")</f>
        <v/>
      </c>
      <c r="BJ22" s="42" t="str">
        <f>IFERROR(IF('IND-14'!F70="","",'IND-14'!F70),"")</f>
        <v/>
      </c>
      <c r="BK22" s="41" t="str">
        <f>IFERROR(IF('IND-14'!F71="","",'IND-14'!F71),"")</f>
        <v/>
      </c>
      <c r="BL22" s="41" t="str">
        <f>IFERROR(IF('IND-14'!F72="","",'IND-14'!F72),"")</f>
        <v/>
      </c>
      <c r="BM22" s="41" t="str">
        <f>IFERROR(IF('IND-14'!F73="","",'IND-14'!F73),"")</f>
        <v/>
      </c>
      <c r="BN22" s="41" t="str">
        <f>IFERROR(IF('IND-14'!F74="","",'IND-14'!F74),"")</f>
        <v/>
      </c>
      <c r="BO22" s="41" t="str">
        <f>IFERROR(IF('IND-14'!F75="","",'IND-14'!F75),"")</f>
        <v/>
      </c>
      <c r="BP22" s="42" t="str">
        <f>IFERROR(IF('IND-14'!F76="","",'IND-14'!F76),"")</f>
        <v/>
      </c>
      <c r="BQ22" s="41" t="str">
        <f>IFERROR(IF('IND-14'!F77="","",'IND-14'!F77),"")</f>
        <v/>
      </c>
      <c r="BR22" s="41" t="str">
        <f>IFERROR(IF('IND-14'!F78="","",'IND-14'!F78),"")</f>
        <v/>
      </c>
      <c r="BS22" s="41" t="str">
        <f>IFERROR(IF('IND-14'!F79="","",'IND-14'!F79),"")</f>
        <v/>
      </c>
      <c r="BT22" s="41" t="str">
        <f>IFERROR(IF('IND-14'!F80="","",'IND-14'!F80),"")</f>
        <v/>
      </c>
      <c r="BU22" s="41" t="str">
        <f>IFERROR(IF('IND-14'!F81="","",'IND-14'!F81),"")</f>
        <v/>
      </c>
      <c r="BV22" s="42" t="str">
        <f>IFERROR(IF('IND-14'!F82="","",'IND-14'!F82),"")</f>
        <v/>
      </c>
      <c r="BW22" s="31">
        <f>IFERROR(AVERAGE('IND-14'!H23:H34),"")</f>
        <v>0.97040711597673623</v>
      </c>
      <c r="BX22" s="31">
        <f>IFERROR(AVERAGE('IND-14'!H35:H46),"")</f>
        <v>0.97775689223057638</v>
      </c>
      <c r="BY22" s="31" t="str">
        <f>IFERROR(AVERAGE('IND-14'!H47:H58),"")</f>
        <v/>
      </c>
      <c r="BZ22" s="31" t="str">
        <f>IFERROR(AVERAGE('IND-14'!H59:H70),"")</f>
        <v/>
      </c>
      <c r="CA22" s="31" t="str">
        <f>IFERROR(AVERAGE('IND-14'!H71:H82),"")</f>
        <v/>
      </c>
      <c r="CB22" s="32" t="str">
        <f t="shared" ref="CB22:CB27" si="1">IFERROR(IF(LOOKUP(2,1/((BW22:CA22&lt;&gt;"")*(ISNUMBER(BW22:CA22))),BW22:CA22)&gt;=0.95,"🟢 Cumple",IF(LOOKUP(2,1/((BW22:CA22&lt;&gt;"")*(ISNUMBER(BW22:CA22))),BW22:CA22)&gt;=0.8,"🟡 En riesgo","🔴 Crítico")),"⚪ Pendiente")</f>
        <v>🟢 Cumple</v>
      </c>
    </row>
    <row r="23" spans="2:80" ht="37.5" customHeight="1" x14ac:dyDescent="0.35">
      <c r="B23" s="23" t="s">
        <v>71</v>
      </c>
      <c r="C23" s="24" t="s">
        <v>72</v>
      </c>
      <c r="D23" s="25" t="s">
        <v>174</v>
      </c>
      <c r="E23" s="25" t="s">
        <v>175</v>
      </c>
      <c r="F23" s="26" t="s">
        <v>139</v>
      </c>
      <c r="G23" s="39" t="s">
        <v>140</v>
      </c>
      <c r="H23" s="26" t="s">
        <v>73</v>
      </c>
      <c r="I23" s="28" t="str">
        <f>VLOOKUP("IND-15",Parámetros!$B$6:$F$30,5,FALSE())</f>
        <v>Por definir</v>
      </c>
      <c r="J23" s="29">
        <f>'IND-15'!C14</f>
        <v>0.98</v>
      </c>
      <c r="K23" s="29">
        <f>'IND-15'!C15</f>
        <v>0.98</v>
      </c>
      <c r="L23" s="29">
        <f>'IND-15'!C16</f>
        <v>0.98</v>
      </c>
      <c r="M23" s="29">
        <f>'IND-15'!C17</f>
        <v>0.98</v>
      </c>
      <c r="N23" s="29">
        <f>'IND-15'!C18</f>
        <v>0.98</v>
      </c>
      <c r="O23" s="43" t="str">
        <f>IFERROR(IF('IND-15'!H23="","",'IND-15'!H23),"")</f>
        <v/>
      </c>
      <c r="P23" s="43" t="str">
        <f>IFERROR(IF('IND-15'!H24="","",'IND-15'!H24),"")</f>
        <v/>
      </c>
      <c r="Q23" s="43" t="str">
        <f>IFERROR(IF('IND-15'!H25="","",'IND-15'!H25),"")</f>
        <v/>
      </c>
      <c r="R23" s="43" t="str">
        <f>IFERROR(IF('IND-15'!H26="","",'IND-15'!H26),"")</f>
        <v/>
      </c>
      <c r="S23" s="43" t="str">
        <f>IFERROR(IF('IND-15'!H27="","",'IND-15'!H27),"")</f>
        <v/>
      </c>
      <c r="T23" s="43" t="str">
        <f>IFERROR(IF('IND-15'!H28="","",'IND-15'!H28),"")</f>
        <v/>
      </c>
      <c r="U23" s="43" t="str">
        <f>IFERROR(IF('IND-15'!H29="","",'IND-15'!H29),"")</f>
        <v/>
      </c>
      <c r="V23" s="43" t="str">
        <f>IFERROR(IF('IND-15'!H30="","",'IND-15'!H30),"")</f>
        <v/>
      </c>
      <c r="W23" s="43" t="str">
        <f>IFERROR(IF('IND-15'!H31="","",'IND-15'!H31),"")</f>
        <v/>
      </c>
      <c r="X23" s="43" t="str">
        <f>IFERROR(IF('IND-15'!H32="","",'IND-15'!H32),"")</f>
        <v/>
      </c>
      <c r="Y23" s="43" t="str">
        <f>IFERROR(IF('IND-15'!H33="","",'IND-15'!H33),"")</f>
        <v/>
      </c>
      <c r="Z23" s="30" t="str">
        <f>IFERROR(IF('IND-15'!H34="","",'IND-15'!H34),"")</f>
        <v/>
      </c>
      <c r="AA23" s="43" t="str">
        <f>IFERROR(IF('IND-15'!H35="","",'IND-15'!H35),"")</f>
        <v/>
      </c>
      <c r="AB23" s="43" t="str">
        <f>IFERROR(IF('IND-15'!H36="","",'IND-15'!H36),"")</f>
        <v/>
      </c>
      <c r="AC23" s="43" t="str">
        <f>IFERROR(IF('IND-15'!H37="","",'IND-15'!H37),"")</f>
        <v/>
      </c>
      <c r="AD23" s="43" t="str">
        <f>IFERROR(IF('IND-15'!H38="","",'IND-15'!H38),"")</f>
        <v/>
      </c>
      <c r="AE23" s="43" t="str">
        <f>IFERROR(IF('IND-15'!H39="","",'IND-15'!H39),"")</f>
        <v/>
      </c>
      <c r="AF23" s="43" t="str">
        <f>IFERROR(IF('IND-15'!H40="","",'IND-15'!H40),"")</f>
        <v/>
      </c>
      <c r="AG23" s="43" t="str">
        <f>IFERROR(IF('IND-15'!H41="","",'IND-15'!H41),"")</f>
        <v/>
      </c>
      <c r="AH23" s="43" t="str">
        <f>IFERROR(IF('IND-15'!H42="","",'IND-15'!H42),"")</f>
        <v/>
      </c>
      <c r="AI23" s="43" t="str">
        <f>IFERROR(IF('IND-15'!H43="","",'IND-15'!H43),"")</f>
        <v/>
      </c>
      <c r="AJ23" s="43" t="str">
        <f>IFERROR(IF('IND-15'!H44="","",'IND-15'!H44),"")</f>
        <v/>
      </c>
      <c r="AK23" s="43" t="str">
        <f>IFERROR(IF('IND-15'!H45="","",'IND-15'!H45),"")</f>
        <v/>
      </c>
      <c r="AL23" s="30" t="str">
        <f>IFERROR(IF('IND-15'!H46="","",'IND-15'!H46),"")</f>
        <v/>
      </c>
      <c r="AM23" s="43" t="str">
        <f>IFERROR(IF('IND-15'!H47="","",'IND-15'!H47),"")</f>
        <v/>
      </c>
      <c r="AN23" s="43" t="str">
        <f>IFERROR(IF('IND-15'!H48="","",'IND-15'!H48),"")</f>
        <v/>
      </c>
      <c r="AO23" s="43" t="str">
        <f>IFERROR(IF('IND-15'!H49="","",'IND-15'!H49),"")</f>
        <v/>
      </c>
      <c r="AP23" s="43" t="str">
        <f>IFERROR(IF('IND-15'!H50="","",'IND-15'!H50),"")</f>
        <v/>
      </c>
      <c r="AQ23" s="43" t="str">
        <f>IFERROR(IF('IND-15'!H51="","",'IND-15'!H51),"")</f>
        <v/>
      </c>
      <c r="AR23" s="43" t="str">
        <f>IFERROR(IF('IND-15'!H52="","",'IND-15'!H52),"")</f>
        <v/>
      </c>
      <c r="AS23" s="43" t="str">
        <f>IFERROR(IF('IND-15'!H53="","",'IND-15'!H53),"")</f>
        <v/>
      </c>
      <c r="AT23" s="43" t="str">
        <f>IFERROR(IF('IND-15'!H54="","",'IND-15'!H54),"")</f>
        <v/>
      </c>
      <c r="AU23" s="43" t="str">
        <f>IFERROR(IF('IND-15'!H55="","",'IND-15'!H55),"")</f>
        <v/>
      </c>
      <c r="AV23" s="43" t="str">
        <f>IFERROR(IF('IND-15'!H56="","",'IND-15'!H56),"")</f>
        <v/>
      </c>
      <c r="AW23" s="43" t="str">
        <f>IFERROR(IF('IND-15'!H57="","",'IND-15'!H57),"")</f>
        <v/>
      </c>
      <c r="AX23" s="30" t="str">
        <f>IFERROR(IF('IND-15'!H58="","",'IND-15'!H58),"")</f>
        <v/>
      </c>
      <c r="AY23" s="43" t="str">
        <f>IFERROR(IF('IND-15'!H59="","",'IND-15'!H59),"")</f>
        <v/>
      </c>
      <c r="AZ23" s="43" t="str">
        <f>IFERROR(IF('IND-15'!H60="","",'IND-15'!H60),"")</f>
        <v/>
      </c>
      <c r="BA23" s="43" t="str">
        <f>IFERROR(IF('IND-15'!H61="","",'IND-15'!H61),"")</f>
        <v/>
      </c>
      <c r="BB23" s="43" t="str">
        <f>IFERROR(IF('IND-15'!H62="","",'IND-15'!H62),"")</f>
        <v/>
      </c>
      <c r="BC23" s="43" t="str">
        <f>IFERROR(IF('IND-15'!H63="","",'IND-15'!H63),"")</f>
        <v/>
      </c>
      <c r="BD23" s="43" t="str">
        <f>IFERROR(IF('IND-15'!H64="","",'IND-15'!H64),"")</f>
        <v/>
      </c>
      <c r="BE23" s="43" t="str">
        <f>IFERROR(IF('IND-15'!H65="","",'IND-15'!H65),"")</f>
        <v/>
      </c>
      <c r="BF23" s="43" t="str">
        <f>IFERROR(IF('IND-15'!H66="","",'IND-15'!H66),"")</f>
        <v/>
      </c>
      <c r="BG23" s="43" t="str">
        <f>IFERROR(IF('IND-15'!H67="","",'IND-15'!H67),"")</f>
        <v/>
      </c>
      <c r="BH23" s="43" t="str">
        <f>IFERROR(IF('IND-15'!H68="","",'IND-15'!H68),"")</f>
        <v/>
      </c>
      <c r="BI23" s="43" t="str">
        <f>IFERROR(IF('IND-15'!H69="","",'IND-15'!H69),"")</f>
        <v/>
      </c>
      <c r="BJ23" s="30" t="str">
        <f>IFERROR(IF('IND-15'!H70="","",'IND-15'!H70),"")</f>
        <v/>
      </c>
      <c r="BK23" s="43" t="str">
        <f>IFERROR(IF('IND-15'!H71="","",'IND-15'!H71),"")</f>
        <v/>
      </c>
      <c r="BL23" s="43" t="str">
        <f>IFERROR(IF('IND-15'!H72="","",'IND-15'!H72),"")</f>
        <v/>
      </c>
      <c r="BM23" s="43" t="str">
        <f>IFERROR(IF('IND-15'!H73="","",'IND-15'!H73),"")</f>
        <v/>
      </c>
      <c r="BN23" s="43" t="str">
        <f>IFERROR(IF('IND-15'!H74="","",'IND-15'!H74),"")</f>
        <v/>
      </c>
      <c r="BO23" s="43" t="str">
        <f>IFERROR(IF('IND-15'!H75="","",'IND-15'!H75),"")</f>
        <v/>
      </c>
      <c r="BP23" s="43" t="str">
        <f>IFERROR(IF('IND-15'!H76="","",'IND-15'!H76),"")</f>
        <v/>
      </c>
      <c r="BQ23" s="43" t="str">
        <f>IFERROR(IF('IND-15'!H77="","",'IND-15'!H77),"")</f>
        <v/>
      </c>
      <c r="BR23" s="43" t="str">
        <f>IFERROR(IF('IND-15'!H78="","",'IND-15'!H78),"")</f>
        <v/>
      </c>
      <c r="BS23" s="43" t="str">
        <f>IFERROR(IF('IND-15'!H79="","",'IND-15'!H79),"")</f>
        <v/>
      </c>
      <c r="BT23" s="43" t="str">
        <f>IFERROR(IF('IND-15'!H80="","",'IND-15'!H80),"")</f>
        <v/>
      </c>
      <c r="BU23" s="43" t="str">
        <f>IFERROR(IF('IND-15'!H81="","",'IND-15'!H81),"")</f>
        <v/>
      </c>
      <c r="BV23" s="30" t="str">
        <f>IFERROR(IF('IND-15'!H82="","",'IND-15'!H82),"")</f>
        <v/>
      </c>
      <c r="BW23" s="31" t="str">
        <f>IFERROR(AVERAGE('IND-15'!J23:J34),"")</f>
        <v/>
      </c>
      <c r="BX23" s="31" t="str">
        <f>IFERROR(AVERAGE('IND-15'!J35:J46),"")</f>
        <v/>
      </c>
      <c r="BY23" s="31" t="str">
        <f>IFERROR(AVERAGE('IND-15'!J47:J58),"")</f>
        <v/>
      </c>
      <c r="BZ23" s="31" t="str">
        <f>IFERROR(AVERAGE('IND-15'!J59:J70),"")</f>
        <v/>
      </c>
      <c r="CA23" s="31" t="str">
        <f>IFERROR(AVERAGE('IND-15'!J71:J82),"")</f>
        <v/>
      </c>
      <c r="CB23" s="32" t="str">
        <f t="shared" si="1"/>
        <v>⚪ Pendiente</v>
      </c>
    </row>
    <row r="24" spans="2:80" ht="37.5" customHeight="1" x14ac:dyDescent="0.35">
      <c r="B24" s="23" t="s">
        <v>71</v>
      </c>
      <c r="C24" s="24" t="s">
        <v>75</v>
      </c>
      <c r="D24" s="25" t="s">
        <v>176</v>
      </c>
      <c r="E24" s="25" t="s">
        <v>177</v>
      </c>
      <c r="F24" s="26" t="s">
        <v>178</v>
      </c>
      <c r="G24" s="39" t="s">
        <v>140</v>
      </c>
      <c r="H24" s="26" t="s">
        <v>38</v>
      </c>
      <c r="I24" s="28" t="str">
        <f>VLOOKUP("IND-16",Parámetros!$B$6:$F$30,5,FALSE())</f>
        <v>Por definir</v>
      </c>
      <c r="J24" s="29">
        <f>'IND-16'!C14</f>
        <v>0.95</v>
      </c>
      <c r="K24" s="29">
        <f>'IND-16'!C15</f>
        <v>0.95</v>
      </c>
      <c r="L24" s="29">
        <f>'IND-16'!C16</f>
        <v>0.95</v>
      </c>
      <c r="M24" s="29">
        <f>'IND-16'!C17</f>
        <v>0.95</v>
      </c>
      <c r="N24" s="29">
        <f>'IND-16'!C18</f>
        <v>0.95</v>
      </c>
      <c r="O24" s="30">
        <f>IFERROR(IF('IND-16'!F23="","",'IND-16'!F23),"")</f>
        <v>0.92</v>
      </c>
      <c r="P24" s="30">
        <f>IFERROR(IF('IND-16'!F24="","",'IND-16'!F24),"")</f>
        <v>0.93</v>
      </c>
      <c r="Q24" s="30">
        <f>IFERROR(IF('IND-16'!F25="","",'IND-16'!F25),"")</f>
        <v>0.94000000000000006</v>
      </c>
      <c r="R24" s="30">
        <f>IFERROR(IF('IND-16'!F26="","",'IND-16'!F26),"")</f>
        <v>0.95000000000000007</v>
      </c>
      <c r="S24" s="30">
        <f>IFERROR(IF('IND-16'!F27="","",'IND-16'!F27),"")</f>
        <v>0.96000000000000008</v>
      </c>
      <c r="T24" s="30">
        <f>IFERROR(IF('IND-16'!F28="","",'IND-16'!F28),"")</f>
        <v>0.97000000000000008</v>
      </c>
      <c r="U24" s="30">
        <f>IFERROR(IF('IND-16'!F29="","",'IND-16'!F29),"")</f>
        <v>0.98</v>
      </c>
      <c r="V24" s="30">
        <f>IFERROR(IF('IND-16'!F30="","",'IND-16'!F30),"")</f>
        <v>0.99</v>
      </c>
      <c r="W24" s="30">
        <f>IFERROR(IF('IND-16'!F31="","",'IND-16'!F31),"")</f>
        <v>1</v>
      </c>
      <c r="X24" s="30">
        <f>IFERROR(IF('IND-16'!F32="","",'IND-16'!F32),"")</f>
        <v>1.01</v>
      </c>
      <c r="Y24" s="30">
        <f>IFERROR(IF('IND-16'!F33="","",'IND-16'!F33),"")</f>
        <v>1.02</v>
      </c>
      <c r="Z24" s="30">
        <f>IFERROR(IF('IND-16'!F34="","",'IND-16'!F34),"")</f>
        <v>1.03</v>
      </c>
      <c r="AA24" s="30" t="str">
        <f>IFERROR(IF('IND-16'!F35="","",'IND-16'!F35),"")</f>
        <v/>
      </c>
      <c r="AB24" s="30" t="str">
        <f>IFERROR(IF('IND-16'!F36="","",'IND-16'!F36),"")</f>
        <v/>
      </c>
      <c r="AC24" s="30" t="str">
        <f>IFERROR(IF('IND-16'!F37="","",'IND-16'!F37),"")</f>
        <v/>
      </c>
      <c r="AD24" s="30" t="str">
        <f>IFERROR(IF('IND-16'!F38="","",'IND-16'!F38),"")</f>
        <v/>
      </c>
      <c r="AE24" s="30" t="str">
        <f>IFERROR(IF('IND-16'!F39="","",'IND-16'!F39),"")</f>
        <v/>
      </c>
      <c r="AF24" s="30" t="str">
        <f>IFERROR(IF('IND-16'!F40="","",'IND-16'!F40),"")</f>
        <v/>
      </c>
      <c r="AG24" s="30" t="str">
        <f>IFERROR(IF('IND-16'!F41="","",'IND-16'!F41),"")</f>
        <v/>
      </c>
      <c r="AH24" s="30" t="str">
        <f>IFERROR(IF('IND-16'!F42="","",'IND-16'!F42),"")</f>
        <v/>
      </c>
      <c r="AI24" s="30" t="str">
        <f>IFERROR(IF('IND-16'!F43="","",'IND-16'!F43),"")</f>
        <v/>
      </c>
      <c r="AJ24" s="30" t="str">
        <f>IFERROR(IF('IND-16'!F44="","",'IND-16'!F44),"")</f>
        <v/>
      </c>
      <c r="AK24" s="30" t="str">
        <f>IFERROR(IF('IND-16'!F45="","",'IND-16'!F45),"")</f>
        <v/>
      </c>
      <c r="AL24" s="30" t="str">
        <f>IFERROR(IF('IND-16'!F46="","",'IND-16'!F46),"")</f>
        <v/>
      </c>
      <c r="AM24" s="30" t="str">
        <f>IFERROR(IF('IND-16'!F47="","",'IND-16'!F47),"")</f>
        <v/>
      </c>
      <c r="AN24" s="30" t="str">
        <f>IFERROR(IF('IND-16'!F48="","",'IND-16'!F48),"")</f>
        <v/>
      </c>
      <c r="AO24" s="30" t="str">
        <f>IFERROR(IF('IND-16'!F49="","",'IND-16'!F49),"")</f>
        <v/>
      </c>
      <c r="AP24" s="30" t="str">
        <f>IFERROR(IF('IND-16'!F50="","",'IND-16'!F50),"")</f>
        <v/>
      </c>
      <c r="AQ24" s="30" t="str">
        <f>IFERROR(IF('IND-16'!F51="","",'IND-16'!F51),"")</f>
        <v/>
      </c>
      <c r="AR24" s="30" t="str">
        <f>IFERROR(IF('IND-16'!F52="","",'IND-16'!F52),"")</f>
        <v/>
      </c>
      <c r="AS24" s="30" t="str">
        <f>IFERROR(IF('IND-16'!F53="","",'IND-16'!F53),"")</f>
        <v/>
      </c>
      <c r="AT24" s="30" t="str">
        <f>IFERROR(IF('IND-16'!F54="","",'IND-16'!F54),"")</f>
        <v/>
      </c>
      <c r="AU24" s="30" t="str">
        <f>IFERROR(IF('IND-16'!F55="","",'IND-16'!F55),"")</f>
        <v/>
      </c>
      <c r="AV24" s="30" t="str">
        <f>IFERROR(IF('IND-16'!F56="","",'IND-16'!F56),"")</f>
        <v/>
      </c>
      <c r="AW24" s="30" t="str">
        <f>IFERROR(IF('IND-16'!F57="","",'IND-16'!F57),"")</f>
        <v/>
      </c>
      <c r="AX24" s="30" t="str">
        <f>IFERROR(IF('IND-16'!F58="","",'IND-16'!F58),"")</f>
        <v/>
      </c>
      <c r="AY24" s="30" t="str">
        <f>IFERROR(IF('IND-16'!F59="","",'IND-16'!F59),"")</f>
        <v/>
      </c>
      <c r="AZ24" s="30" t="str">
        <f>IFERROR(IF('IND-16'!F60="","",'IND-16'!F60),"")</f>
        <v/>
      </c>
      <c r="BA24" s="30" t="str">
        <f>IFERROR(IF('IND-16'!F61="","",'IND-16'!F61),"")</f>
        <v/>
      </c>
      <c r="BB24" s="30" t="str">
        <f>IFERROR(IF('IND-16'!F62="","",'IND-16'!F62),"")</f>
        <v/>
      </c>
      <c r="BC24" s="30" t="str">
        <f>IFERROR(IF('IND-16'!F63="","",'IND-16'!F63),"")</f>
        <v/>
      </c>
      <c r="BD24" s="30" t="str">
        <f>IFERROR(IF('IND-16'!F64="","",'IND-16'!F64),"")</f>
        <v/>
      </c>
      <c r="BE24" s="30" t="str">
        <f>IFERROR(IF('IND-16'!F65="","",'IND-16'!F65),"")</f>
        <v/>
      </c>
      <c r="BF24" s="30" t="str">
        <f>IFERROR(IF('IND-16'!F66="","",'IND-16'!F66),"")</f>
        <v/>
      </c>
      <c r="BG24" s="30" t="str">
        <f>IFERROR(IF('IND-16'!F67="","",'IND-16'!F67),"")</f>
        <v/>
      </c>
      <c r="BH24" s="30" t="str">
        <f>IFERROR(IF('IND-16'!F68="","",'IND-16'!F68),"")</f>
        <v/>
      </c>
      <c r="BI24" s="30" t="str">
        <f>IFERROR(IF('IND-16'!F69="","",'IND-16'!F69),"")</f>
        <v/>
      </c>
      <c r="BJ24" s="30" t="str">
        <f>IFERROR(IF('IND-16'!F70="","",'IND-16'!F70),"")</f>
        <v/>
      </c>
      <c r="BK24" s="30" t="str">
        <f>IFERROR(IF('IND-16'!F71="","",'IND-16'!F71),"")</f>
        <v/>
      </c>
      <c r="BL24" s="30" t="str">
        <f>IFERROR(IF('IND-16'!F72="","",'IND-16'!F72),"")</f>
        <v/>
      </c>
      <c r="BM24" s="30" t="str">
        <f>IFERROR(IF('IND-16'!F73="","",'IND-16'!F73),"")</f>
        <v/>
      </c>
      <c r="BN24" s="30" t="str">
        <f>IFERROR(IF('IND-16'!F74="","",'IND-16'!F74),"")</f>
        <v/>
      </c>
      <c r="BO24" s="30" t="str">
        <f>IFERROR(IF('IND-16'!F75="","",'IND-16'!F75),"")</f>
        <v/>
      </c>
      <c r="BP24" s="30" t="str">
        <f>IFERROR(IF('IND-16'!F76="","",'IND-16'!F76),"")</f>
        <v/>
      </c>
      <c r="BQ24" s="30" t="str">
        <f>IFERROR(IF('IND-16'!F77="","",'IND-16'!F77),"")</f>
        <v/>
      </c>
      <c r="BR24" s="30" t="str">
        <f>IFERROR(IF('IND-16'!F78="","",'IND-16'!F78),"")</f>
        <v/>
      </c>
      <c r="BS24" s="30" t="str">
        <f>IFERROR(IF('IND-16'!F79="","",'IND-16'!F79),"")</f>
        <v/>
      </c>
      <c r="BT24" s="30" t="str">
        <f>IFERROR(IF('IND-16'!F80="","",'IND-16'!F80),"")</f>
        <v/>
      </c>
      <c r="BU24" s="30" t="str">
        <f>IFERROR(IF('IND-16'!F81="","",'IND-16'!F81),"")</f>
        <v/>
      </c>
      <c r="BV24" s="30" t="str">
        <f>IFERROR(IF('IND-16'!F82="","",'IND-16'!F82),"")</f>
        <v/>
      </c>
      <c r="BW24" s="31">
        <f>IFERROR(AVERAGE('IND-16'!H23:H34),"")</f>
        <v>1.0263157894736843</v>
      </c>
      <c r="BX24" s="31" t="str">
        <f>IFERROR(AVERAGE('IND-16'!H35:H46),"")</f>
        <v/>
      </c>
      <c r="BY24" s="31" t="str">
        <f>IFERROR(AVERAGE('IND-16'!H47:H58),"")</f>
        <v/>
      </c>
      <c r="BZ24" s="31" t="str">
        <f>IFERROR(AVERAGE('IND-16'!H59:H70),"")</f>
        <v/>
      </c>
      <c r="CA24" s="31" t="str">
        <f>IFERROR(AVERAGE('IND-16'!H71:H82),"")</f>
        <v/>
      </c>
      <c r="CB24" s="32" t="str">
        <f t="shared" si="1"/>
        <v>🟢 Cumple</v>
      </c>
    </row>
    <row r="25" spans="2:80" ht="37.5" customHeight="1" x14ac:dyDescent="0.35">
      <c r="B25" s="23" t="s">
        <v>71</v>
      </c>
      <c r="C25" s="24" t="s">
        <v>77</v>
      </c>
      <c r="D25" s="25" t="s">
        <v>179</v>
      </c>
      <c r="E25" s="25" t="s">
        <v>180</v>
      </c>
      <c r="F25" s="26" t="s">
        <v>181</v>
      </c>
      <c r="G25" s="39" t="s">
        <v>140</v>
      </c>
      <c r="H25" s="26" t="s">
        <v>38</v>
      </c>
      <c r="I25" s="28" t="str">
        <f>VLOOKUP("IND-17",Parámetros!$B$6:$F$30,5,FALSE())</f>
        <v>Por definir</v>
      </c>
      <c r="J25" s="37">
        <f>'IND-17'!C14</f>
        <v>3</v>
      </c>
      <c r="K25" s="37">
        <f>'IND-17'!C15</f>
        <v>3</v>
      </c>
      <c r="L25" s="37">
        <f>'IND-17'!C16</f>
        <v>3</v>
      </c>
      <c r="M25" s="37">
        <f>'IND-17'!C17</f>
        <v>3</v>
      </c>
      <c r="N25" s="37">
        <f>'IND-17'!C18</f>
        <v>3</v>
      </c>
      <c r="O25" s="38" t="str">
        <f>IFERROR(IF('IND-17'!G23="","",'IND-17'!G23),"")</f>
        <v/>
      </c>
      <c r="P25" s="38" t="str">
        <f>IFERROR(IF('IND-17'!G24="","",'IND-17'!G24),"")</f>
        <v/>
      </c>
      <c r="Q25" s="38" t="str">
        <f>IFERROR(IF('IND-17'!G25="","",'IND-17'!G25),"")</f>
        <v/>
      </c>
      <c r="R25" s="38" t="str">
        <f>IFERROR(IF('IND-17'!G26="","",'IND-17'!G26),"")</f>
        <v/>
      </c>
      <c r="S25" s="38" t="str">
        <f>IFERROR(IF('IND-17'!G27="","",'IND-17'!G27),"")</f>
        <v/>
      </c>
      <c r="T25" s="38" t="str">
        <f>IFERROR(IF('IND-17'!G28="","",'IND-17'!G28),"")</f>
        <v/>
      </c>
      <c r="U25" s="38" t="str">
        <f>IFERROR(IF('IND-17'!G29="","",'IND-17'!G29),"")</f>
        <v/>
      </c>
      <c r="V25" s="38" t="str">
        <f>IFERROR(IF('IND-17'!G30="","",'IND-17'!G30),"")</f>
        <v/>
      </c>
      <c r="W25" s="38" t="str">
        <f>IFERROR(IF('IND-17'!G31="","",'IND-17'!G31),"")</f>
        <v/>
      </c>
      <c r="X25" s="38" t="str">
        <f>IFERROR(IF('IND-17'!G32="","",'IND-17'!G32),"")</f>
        <v/>
      </c>
      <c r="Y25" s="38" t="str">
        <f>IFERROR(IF('IND-17'!G33="","",'IND-17'!G33),"")</f>
        <v/>
      </c>
      <c r="Z25" s="38" t="str">
        <f>IFERROR(IF('IND-17'!G34="","",'IND-17'!G34),"")</f>
        <v/>
      </c>
      <c r="AA25" s="38" t="str">
        <f>IFERROR(IF('IND-17'!G35="","",'IND-17'!G35),"")</f>
        <v/>
      </c>
      <c r="AB25" s="38" t="str">
        <f>IFERROR(IF('IND-17'!G36="","",'IND-17'!G36),"")</f>
        <v/>
      </c>
      <c r="AC25" s="38" t="str">
        <f>IFERROR(IF('IND-17'!G37="","",'IND-17'!G37),"")</f>
        <v/>
      </c>
      <c r="AD25" s="38" t="str">
        <f>IFERROR(IF('IND-17'!G38="","",'IND-17'!G38),"")</f>
        <v/>
      </c>
      <c r="AE25" s="38" t="str">
        <f>IFERROR(IF('IND-17'!G39="","",'IND-17'!G39),"")</f>
        <v/>
      </c>
      <c r="AF25" s="38" t="str">
        <f>IFERROR(IF('IND-17'!G40="","",'IND-17'!G40),"")</f>
        <v/>
      </c>
      <c r="AG25" s="38" t="str">
        <f>IFERROR(IF('IND-17'!G41="","",'IND-17'!G41),"")</f>
        <v/>
      </c>
      <c r="AH25" s="38" t="str">
        <f>IFERROR(IF('IND-17'!G42="","",'IND-17'!G42),"")</f>
        <v/>
      </c>
      <c r="AI25" s="38" t="str">
        <f>IFERROR(IF('IND-17'!G43="","",'IND-17'!G43),"")</f>
        <v/>
      </c>
      <c r="AJ25" s="38" t="str">
        <f>IFERROR(IF('IND-17'!G44="","",'IND-17'!G44),"")</f>
        <v/>
      </c>
      <c r="AK25" s="38" t="str">
        <f>IFERROR(IF('IND-17'!G45="","",'IND-17'!G45),"")</f>
        <v/>
      </c>
      <c r="AL25" s="38" t="str">
        <f>IFERROR(IF('IND-17'!G46="","",'IND-17'!G46),"")</f>
        <v/>
      </c>
      <c r="AM25" s="38" t="str">
        <f>IFERROR(IF('IND-17'!G47="","",'IND-17'!G47),"")</f>
        <v/>
      </c>
      <c r="AN25" s="38" t="str">
        <f>IFERROR(IF('IND-17'!G48="","",'IND-17'!G48),"")</f>
        <v/>
      </c>
      <c r="AO25" s="38" t="str">
        <f>IFERROR(IF('IND-17'!G49="","",'IND-17'!G49),"")</f>
        <v/>
      </c>
      <c r="AP25" s="38" t="str">
        <f>IFERROR(IF('IND-17'!G50="","",'IND-17'!G50),"")</f>
        <v/>
      </c>
      <c r="AQ25" s="38" t="str">
        <f>IFERROR(IF('IND-17'!G51="","",'IND-17'!G51),"")</f>
        <v/>
      </c>
      <c r="AR25" s="38" t="str">
        <f>IFERROR(IF('IND-17'!G52="","",'IND-17'!G52),"")</f>
        <v/>
      </c>
      <c r="AS25" s="38" t="str">
        <f>IFERROR(IF('IND-17'!G53="","",'IND-17'!G53),"")</f>
        <v/>
      </c>
      <c r="AT25" s="38" t="str">
        <f>IFERROR(IF('IND-17'!G54="","",'IND-17'!G54),"")</f>
        <v/>
      </c>
      <c r="AU25" s="38" t="str">
        <f>IFERROR(IF('IND-17'!G55="","",'IND-17'!G55),"")</f>
        <v/>
      </c>
      <c r="AV25" s="38" t="str">
        <f>IFERROR(IF('IND-17'!G56="","",'IND-17'!G56),"")</f>
        <v/>
      </c>
      <c r="AW25" s="38" t="str">
        <f>IFERROR(IF('IND-17'!G57="","",'IND-17'!G57),"")</f>
        <v/>
      </c>
      <c r="AX25" s="38" t="str">
        <f>IFERROR(IF('IND-17'!G58="","",'IND-17'!G58),"")</f>
        <v/>
      </c>
      <c r="AY25" s="38" t="str">
        <f>IFERROR(IF('IND-17'!G59="","",'IND-17'!G59),"")</f>
        <v/>
      </c>
      <c r="AZ25" s="38" t="str">
        <f>IFERROR(IF('IND-17'!G60="","",'IND-17'!G60),"")</f>
        <v/>
      </c>
      <c r="BA25" s="38" t="str">
        <f>IFERROR(IF('IND-17'!G61="","",'IND-17'!G61),"")</f>
        <v/>
      </c>
      <c r="BB25" s="38" t="str">
        <f>IFERROR(IF('IND-17'!G62="","",'IND-17'!G62),"")</f>
        <v/>
      </c>
      <c r="BC25" s="38" t="str">
        <f>IFERROR(IF('IND-17'!G63="","",'IND-17'!G63),"")</f>
        <v/>
      </c>
      <c r="BD25" s="38" t="str">
        <f>IFERROR(IF('IND-17'!G64="","",'IND-17'!G64),"")</f>
        <v/>
      </c>
      <c r="BE25" s="38" t="str">
        <f>IFERROR(IF('IND-17'!G65="","",'IND-17'!G65),"")</f>
        <v/>
      </c>
      <c r="BF25" s="38" t="str">
        <f>IFERROR(IF('IND-17'!G66="","",'IND-17'!G66),"")</f>
        <v/>
      </c>
      <c r="BG25" s="38" t="str">
        <f>IFERROR(IF('IND-17'!G67="","",'IND-17'!G67),"")</f>
        <v/>
      </c>
      <c r="BH25" s="38" t="str">
        <f>IFERROR(IF('IND-17'!G68="","",'IND-17'!G68),"")</f>
        <v/>
      </c>
      <c r="BI25" s="38" t="str">
        <f>IFERROR(IF('IND-17'!G69="","",'IND-17'!G69),"")</f>
        <v/>
      </c>
      <c r="BJ25" s="38" t="str">
        <f>IFERROR(IF('IND-17'!G70="","",'IND-17'!G70),"")</f>
        <v/>
      </c>
      <c r="BK25" s="38" t="str">
        <f>IFERROR(IF('IND-17'!G71="","",'IND-17'!G71),"")</f>
        <v/>
      </c>
      <c r="BL25" s="38" t="str">
        <f>IFERROR(IF('IND-17'!G72="","",'IND-17'!G72),"")</f>
        <v/>
      </c>
      <c r="BM25" s="38" t="str">
        <f>IFERROR(IF('IND-17'!G73="","",'IND-17'!G73),"")</f>
        <v/>
      </c>
      <c r="BN25" s="38" t="str">
        <f>IFERROR(IF('IND-17'!G74="","",'IND-17'!G74),"")</f>
        <v/>
      </c>
      <c r="BO25" s="38" t="str">
        <f>IFERROR(IF('IND-17'!G75="","",'IND-17'!G75),"")</f>
        <v/>
      </c>
      <c r="BP25" s="38" t="str">
        <f>IFERROR(IF('IND-17'!G76="","",'IND-17'!G76),"")</f>
        <v/>
      </c>
      <c r="BQ25" s="38" t="str">
        <f>IFERROR(IF('IND-17'!G77="","",'IND-17'!G77),"")</f>
        <v/>
      </c>
      <c r="BR25" s="38" t="str">
        <f>IFERROR(IF('IND-17'!G78="","",'IND-17'!G78),"")</f>
        <v/>
      </c>
      <c r="BS25" s="38" t="str">
        <f>IFERROR(IF('IND-17'!G79="","",'IND-17'!G79),"")</f>
        <v/>
      </c>
      <c r="BT25" s="38" t="str">
        <f>IFERROR(IF('IND-17'!G80="","",'IND-17'!G80),"")</f>
        <v/>
      </c>
      <c r="BU25" s="38" t="str">
        <f>IFERROR(IF('IND-17'!G81="","",'IND-17'!G81),"")</f>
        <v/>
      </c>
      <c r="BV25" s="38" t="str">
        <f>IFERROR(IF('IND-17'!G82="","",'IND-17'!G82),"")</f>
        <v/>
      </c>
      <c r="BW25" s="31" t="str">
        <f>IFERROR(AVERAGE('IND-17'!I23:I34),"")</f>
        <v/>
      </c>
      <c r="BX25" s="31" t="str">
        <f>IFERROR(AVERAGE('IND-17'!I35:I46),"")</f>
        <v/>
      </c>
      <c r="BY25" s="31" t="str">
        <f>IFERROR(AVERAGE('IND-17'!I47:I58),"")</f>
        <v/>
      </c>
      <c r="BZ25" s="31" t="str">
        <f>IFERROR(AVERAGE('IND-17'!I59:I70),"")</f>
        <v/>
      </c>
      <c r="CA25" s="31" t="str">
        <f>IFERROR(AVERAGE('IND-17'!I71:I82),"")</f>
        <v/>
      </c>
      <c r="CB25" s="32" t="str">
        <f t="shared" si="1"/>
        <v>⚪ Pendiente</v>
      </c>
    </row>
    <row r="26" spans="2:80" ht="37.5" customHeight="1" x14ac:dyDescent="0.35">
      <c r="B26" s="23" t="s">
        <v>79</v>
      </c>
      <c r="C26" s="24" t="s">
        <v>80</v>
      </c>
      <c r="D26" s="25" t="s">
        <v>182</v>
      </c>
      <c r="E26" s="25" t="s">
        <v>183</v>
      </c>
      <c r="F26" s="26" t="s">
        <v>139</v>
      </c>
      <c r="G26" s="39" t="s">
        <v>140</v>
      </c>
      <c r="H26" s="26" t="s">
        <v>38</v>
      </c>
      <c r="I26" s="28" t="str">
        <f>VLOOKUP("IND-18",Parámetros!$B$6:$F$30,5,FALSE())</f>
        <v>Por definir</v>
      </c>
      <c r="J26" s="29" t="str">
        <f>'IND-18'!C14</f>
        <v>Por definir</v>
      </c>
      <c r="K26" s="29" t="str">
        <f>'IND-18'!C15</f>
        <v>Por definir</v>
      </c>
      <c r="L26" s="29" t="str">
        <f>'IND-18'!C16</f>
        <v>Por definir</v>
      </c>
      <c r="M26" s="29" t="str">
        <f>'IND-18'!C17</f>
        <v>Por definir</v>
      </c>
      <c r="N26" s="29" t="str">
        <f>'IND-18'!C18</f>
        <v>Por definir</v>
      </c>
      <c r="O26" s="30" t="str">
        <f>IFERROR(IF('IND-18'!G23="","",'IND-18'!G23),"")</f>
        <v/>
      </c>
      <c r="P26" s="30" t="str">
        <f>IFERROR(IF('IND-18'!G24="","",'IND-18'!G24),"")</f>
        <v/>
      </c>
      <c r="Q26" s="30" t="str">
        <f>IFERROR(IF('IND-18'!G25="","",'IND-18'!G25),"")</f>
        <v/>
      </c>
      <c r="R26" s="30" t="str">
        <f>IFERROR(IF('IND-18'!G26="","",'IND-18'!G26),"")</f>
        <v/>
      </c>
      <c r="S26" s="30" t="str">
        <f>IFERROR(IF('IND-18'!G27="","",'IND-18'!G27),"")</f>
        <v/>
      </c>
      <c r="T26" s="30" t="str">
        <f>IFERROR(IF('IND-18'!G28="","",'IND-18'!G28),"")</f>
        <v/>
      </c>
      <c r="U26" s="30" t="str">
        <f>IFERROR(IF('IND-18'!G29="","",'IND-18'!G29),"")</f>
        <v/>
      </c>
      <c r="V26" s="30" t="str">
        <f>IFERROR(IF('IND-18'!G30="","",'IND-18'!G30),"")</f>
        <v/>
      </c>
      <c r="W26" s="30" t="str">
        <f>IFERROR(IF('IND-18'!G31="","",'IND-18'!G31),"")</f>
        <v/>
      </c>
      <c r="X26" s="30" t="str">
        <f>IFERROR(IF('IND-18'!G32="","",'IND-18'!G32),"")</f>
        <v/>
      </c>
      <c r="Y26" s="30" t="str">
        <f>IFERROR(IF('IND-18'!G33="","",'IND-18'!G33),"")</f>
        <v/>
      </c>
      <c r="Z26" s="30" t="str">
        <f>IFERROR(IF('IND-18'!G34="","",'IND-18'!G34),"")</f>
        <v/>
      </c>
      <c r="AA26" s="30" t="str">
        <f>IFERROR(IF('IND-18'!G35="","",'IND-18'!G35),"")</f>
        <v/>
      </c>
      <c r="AB26" s="30" t="str">
        <f>IFERROR(IF('IND-18'!G36="","",'IND-18'!G36),"")</f>
        <v/>
      </c>
      <c r="AC26" s="30" t="str">
        <f>IFERROR(IF('IND-18'!G37="","",'IND-18'!G37),"")</f>
        <v/>
      </c>
      <c r="AD26" s="30" t="str">
        <f>IFERROR(IF('IND-18'!G38="","",'IND-18'!G38),"")</f>
        <v/>
      </c>
      <c r="AE26" s="30" t="str">
        <f>IFERROR(IF('IND-18'!G39="","",'IND-18'!G39),"")</f>
        <v/>
      </c>
      <c r="AF26" s="30" t="str">
        <f>IFERROR(IF('IND-18'!G40="","",'IND-18'!G40),"")</f>
        <v/>
      </c>
      <c r="AG26" s="30" t="str">
        <f>IFERROR(IF('IND-18'!G41="","",'IND-18'!G41),"")</f>
        <v/>
      </c>
      <c r="AH26" s="30" t="str">
        <f>IFERROR(IF('IND-18'!G42="","",'IND-18'!G42),"")</f>
        <v/>
      </c>
      <c r="AI26" s="30" t="str">
        <f>IFERROR(IF('IND-18'!G43="","",'IND-18'!G43),"")</f>
        <v/>
      </c>
      <c r="AJ26" s="30" t="str">
        <f>IFERROR(IF('IND-18'!G44="","",'IND-18'!G44),"")</f>
        <v/>
      </c>
      <c r="AK26" s="30" t="str">
        <f>IFERROR(IF('IND-18'!G45="","",'IND-18'!G45),"")</f>
        <v/>
      </c>
      <c r="AL26" s="30" t="str">
        <f>IFERROR(IF('IND-18'!G46="","",'IND-18'!G46),"")</f>
        <v/>
      </c>
      <c r="AM26" s="30" t="str">
        <f>IFERROR(IF('IND-18'!G47="","",'IND-18'!G47),"")</f>
        <v/>
      </c>
      <c r="AN26" s="30" t="str">
        <f>IFERROR(IF('IND-18'!G48="","",'IND-18'!G48),"")</f>
        <v/>
      </c>
      <c r="AO26" s="30" t="str">
        <f>IFERROR(IF('IND-18'!G49="","",'IND-18'!G49),"")</f>
        <v/>
      </c>
      <c r="AP26" s="30" t="str">
        <f>IFERROR(IF('IND-18'!G50="","",'IND-18'!G50),"")</f>
        <v/>
      </c>
      <c r="AQ26" s="30" t="str">
        <f>IFERROR(IF('IND-18'!G51="","",'IND-18'!G51),"")</f>
        <v/>
      </c>
      <c r="AR26" s="30" t="str">
        <f>IFERROR(IF('IND-18'!G52="","",'IND-18'!G52),"")</f>
        <v/>
      </c>
      <c r="AS26" s="30" t="str">
        <f>IFERROR(IF('IND-18'!G53="","",'IND-18'!G53),"")</f>
        <v/>
      </c>
      <c r="AT26" s="30" t="str">
        <f>IFERROR(IF('IND-18'!G54="","",'IND-18'!G54),"")</f>
        <v/>
      </c>
      <c r="AU26" s="30" t="str">
        <f>IFERROR(IF('IND-18'!G55="","",'IND-18'!G55),"")</f>
        <v/>
      </c>
      <c r="AV26" s="30" t="str">
        <f>IFERROR(IF('IND-18'!G56="","",'IND-18'!G56),"")</f>
        <v/>
      </c>
      <c r="AW26" s="30" t="str">
        <f>IFERROR(IF('IND-18'!G57="","",'IND-18'!G57),"")</f>
        <v/>
      </c>
      <c r="AX26" s="30" t="str">
        <f>IFERROR(IF('IND-18'!G58="","",'IND-18'!G58),"")</f>
        <v/>
      </c>
      <c r="AY26" s="30" t="str">
        <f>IFERROR(IF('IND-18'!G59="","",'IND-18'!G59),"")</f>
        <v/>
      </c>
      <c r="AZ26" s="30" t="str">
        <f>IFERROR(IF('IND-18'!G60="","",'IND-18'!G60),"")</f>
        <v/>
      </c>
      <c r="BA26" s="30" t="str">
        <f>IFERROR(IF('IND-18'!G61="","",'IND-18'!G61),"")</f>
        <v/>
      </c>
      <c r="BB26" s="30" t="str">
        <f>IFERROR(IF('IND-18'!G62="","",'IND-18'!G62),"")</f>
        <v/>
      </c>
      <c r="BC26" s="30" t="str">
        <f>IFERROR(IF('IND-18'!G63="","",'IND-18'!G63),"")</f>
        <v/>
      </c>
      <c r="BD26" s="30" t="str">
        <f>IFERROR(IF('IND-18'!G64="","",'IND-18'!G64),"")</f>
        <v/>
      </c>
      <c r="BE26" s="30" t="str">
        <f>IFERROR(IF('IND-18'!G65="","",'IND-18'!G65),"")</f>
        <v/>
      </c>
      <c r="BF26" s="30" t="str">
        <f>IFERROR(IF('IND-18'!G66="","",'IND-18'!G66),"")</f>
        <v/>
      </c>
      <c r="BG26" s="30" t="str">
        <f>IFERROR(IF('IND-18'!G67="","",'IND-18'!G67),"")</f>
        <v/>
      </c>
      <c r="BH26" s="30" t="str">
        <f>IFERROR(IF('IND-18'!G68="","",'IND-18'!G68),"")</f>
        <v/>
      </c>
      <c r="BI26" s="30" t="str">
        <f>IFERROR(IF('IND-18'!G69="","",'IND-18'!G69),"")</f>
        <v/>
      </c>
      <c r="BJ26" s="30" t="str">
        <f>IFERROR(IF('IND-18'!G70="","",'IND-18'!G70),"")</f>
        <v/>
      </c>
      <c r="BK26" s="30" t="str">
        <f>IFERROR(IF('IND-18'!G71="","",'IND-18'!G71),"")</f>
        <v/>
      </c>
      <c r="BL26" s="30" t="str">
        <f>IFERROR(IF('IND-18'!G72="","",'IND-18'!G72),"")</f>
        <v/>
      </c>
      <c r="BM26" s="30" t="str">
        <f>IFERROR(IF('IND-18'!G73="","",'IND-18'!G73),"")</f>
        <v/>
      </c>
      <c r="BN26" s="30" t="str">
        <f>IFERROR(IF('IND-18'!G74="","",'IND-18'!G74),"")</f>
        <v/>
      </c>
      <c r="BO26" s="30" t="str">
        <f>IFERROR(IF('IND-18'!G75="","",'IND-18'!G75),"")</f>
        <v/>
      </c>
      <c r="BP26" s="30" t="str">
        <f>IFERROR(IF('IND-18'!G76="","",'IND-18'!G76),"")</f>
        <v/>
      </c>
      <c r="BQ26" s="30" t="str">
        <f>IFERROR(IF('IND-18'!G77="","",'IND-18'!G77),"")</f>
        <v/>
      </c>
      <c r="BR26" s="30" t="str">
        <f>IFERROR(IF('IND-18'!G78="","",'IND-18'!G78),"")</f>
        <v/>
      </c>
      <c r="BS26" s="30" t="str">
        <f>IFERROR(IF('IND-18'!G79="","",'IND-18'!G79),"")</f>
        <v/>
      </c>
      <c r="BT26" s="30" t="str">
        <f>IFERROR(IF('IND-18'!G80="","",'IND-18'!G80),"")</f>
        <v/>
      </c>
      <c r="BU26" s="30" t="str">
        <f>IFERROR(IF('IND-18'!G81="","",'IND-18'!G81),"")</f>
        <v/>
      </c>
      <c r="BV26" s="30" t="str">
        <f>IFERROR(IF('IND-18'!G82="","",'IND-18'!G82),"")</f>
        <v/>
      </c>
      <c r="BW26" s="31" t="str">
        <f>IFERROR(AVERAGE('IND-18'!I23:I34),"")</f>
        <v/>
      </c>
      <c r="BX26" s="31" t="str">
        <f>IFERROR(AVERAGE('IND-18'!I35:I46),"")</f>
        <v/>
      </c>
      <c r="BY26" s="31" t="str">
        <f>IFERROR(AVERAGE('IND-18'!I47:I58),"")</f>
        <v/>
      </c>
      <c r="BZ26" s="31" t="str">
        <f>IFERROR(AVERAGE('IND-18'!I59:I70),"")</f>
        <v/>
      </c>
      <c r="CA26" s="31" t="str">
        <f>IFERROR(AVERAGE('IND-18'!I71:I82),"")</f>
        <v/>
      </c>
      <c r="CB26" s="32" t="str">
        <f t="shared" si="1"/>
        <v>⚪ Pendiente</v>
      </c>
    </row>
    <row r="27" spans="2:80" ht="37.5" customHeight="1" x14ac:dyDescent="0.35">
      <c r="B27" s="23" t="s">
        <v>79</v>
      </c>
      <c r="C27" s="24" t="s">
        <v>82</v>
      </c>
      <c r="D27" s="25" t="s">
        <v>184</v>
      </c>
      <c r="E27" s="25" t="s">
        <v>185</v>
      </c>
      <c r="F27" s="26" t="s">
        <v>178</v>
      </c>
      <c r="G27" s="39" t="s">
        <v>140</v>
      </c>
      <c r="H27" s="26" t="s">
        <v>83</v>
      </c>
      <c r="I27" s="28" t="str">
        <f>VLOOKUP("IND-19",Parámetros!$B$6:$F$30,5,FALSE())</f>
        <v>Por definir</v>
      </c>
      <c r="J27" s="29" t="str">
        <f>'IND-19'!C14</f>
        <v>Por definir</v>
      </c>
      <c r="K27" s="29" t="str">
        <f>'IND-19'!C15</f>
        <v>Por definir</v>
      </c>
      <c r="L27" s="29" t="str">
        <f>'IND-19'!C16</f>
        <v>Por definir</v>
      </c>
      <c r="M27" s="29" t="str">
        <f>'IND-19'!C17</f>
        <v>Por definir</v>
      </c>
      <c r="N27" s="29" t="str">
        <f>'IND-19'!C18</f>
        <v>Por definir</v>
      </c>
      <c r="O27" s="43" t="str">
        <f>IFERROR(IF('IND-19'!F23="","",'IND-19'!F23),"")</f>
        <v/>
      </c>
      <c r="P27" s="43" t="str">
        <f>IFERROR(IF('IND-19'!F24="","",'IND-19'!F24),"")</f>
        <v/>
      </c>
      <c r="Q27" s="30" t="str">
        <f>IFERROR(IF('IND-19'!F25="","",'IND-19'!F25),"")</f>
        <v/>
      </c>
      <c r="R27" s="43" t="str">
        <f>IFERROR(IF('IND-19'!F26="","",'IND-19'!F26),"")</f>
        <v/>
      </c>
      <c r="S27" s="43" t="str">
        <f>IFERROR(IF('IND-19'!F27="","",'IND-19'!F27),"")</f>
        <v/>
      </c>
      <c r="T27" s="30" t="str">
        <f>IFERROR(IF('IND-19'!F28="","",'IND-19'!F28),"")</f>
        <v/>
      </c>
      <c r="U27" s="43" t="str">
        <f>IFERROR(IF('IND-19'!F29="","",'IND-19'!F29),"")</f>
        <v/>
      </c>
      <c r="V27" s="43" t="str">
        <f>IFERROR(IF('IND-19'!F30="","",'IND-19'!F30),"")</f>
        <v/>
      </c>
      <c r="W27" s="30" t="str">
        <f>IFERROR(IF('IND-19'!F31="","",'IND-19'!F31),"")</f>
        <v/>
      </c>
      <c r="X27" s="43" t="str">
        <f>IFERROR(IF('IND-19'!F32="","",'IND-19'!F32),"")</f>
        <v/>
      </c>
      <c r="Y27" s="43" t="str">
        <f>IFERROR(IF('IND-19'!F33="","",'IND-19'!F33),"")</f>
        <v/>
      </c>
      <c r="Z27" s="30" t="str">
        <f>IFERROR(IF('IND-19'!F34="","",'IND-19'!F34),"")</f>
        <v/>
      </c>
      <c r="AA27" s="43" t="str">
        <f>IFERROR(IF('IND-19'!F35="","",'IND-19'!F35),"")</f>
        <v/>
      </c>
      <c r="AB27" s="43" t="str">
        <f>IFERROR(IF('IND-19'!F36="","",'IND-19'!F36),"")</f>
        <v/>
      </c>
      <c r="AC27" s="30" t="str">
        <f>IFERROR(IF('IND-19'!F37="","",'IND-19'!F37),"")</f>
        <v/>
      </c>
      <c r="AD27" s="43" t="str">
        <f>IFERROR(IF('IND-19'!F38="","",'IND-19'!F38),"")</f>
        <v/>
      </c>
      <c r="AE27" s="43" t="str">
        <f>IFERROR(IF('IND-19'!F39="","",'IND-19'!F39),"")</f>
        <v/>
      </c>
      <c r="AF27" s="30" t="str">
        <f>IFERROR(IF('IND-19'!F40="","",'IND-19'!F40),"")</f>
        <v/>
      </c>
      <c r="AG27" s="43" t="str">
        <f>IFERROR(IF('IND-19'!F41="","",'IND-19'!F41),"")</f>
        <v/>
      </c>
      <c r="AH27" s="43" t="str">
        <f>IFERROR(IF('IND-19'!F42="","",'IND-19'!F42),"")</f>
        <v/>
      </c>
      <c r="AI27" s="30" t="str">
        <f>IFERROR(IF('IND-19'!F43="","",'IND-19'!F43),"")</f>
        <v/>
      </c>
      <c r="AJ27" s="43" t="str">
        <f>IFERROR(IF('IND-19'!F44="","",'IND-19'!F44),"")</f>
        <v/>
      </c>
      <c r="AK27" s="43" t="str">
        <f>IFERROR(IF('IND-19'!F45="","",'IND-19'!F45),"")</f>
        <v/>
      </c>
      <c r="AL27" s="30" t="str">
        <f>IFERROR(IF('IND-19'!F46="","",'IND-19'!F46),"")</f>
        <v/>
      </c>
      <c r="AM27" s="43" t="str">
        <f>IFERROR(IF('IND-19'!F47="","",'IND-19'!F47),"")</f>
        <v/>
      </c>
      <c r="AN27" s="43" t="str">
        <f>IFERROR(IF('IND-19'!F48="","",'IND-19'!F48),"")</f>
        <v/>
      </c>
      <c r="AO27" s="30" t="str">
        <f>IFERROR(IF('IND-19'!F49="","",'IND-19'!F49),"")</f>
        <v/>
      </c>
      <c r="AP27" s="43" t="str">
        <f>IFERROR(IF('IND-19'!F50="","",'IND-19'!F50),"")</f>
        <v/>
      </c>
      <c r="AQ27" s="43" t="str">
        <f>IFERROR(IF('IND-19'!F51="","",'IND-19'!F51),"")</f>
        <v/>
      </c>
      <c r="AR27" s="30" t="str">
        <f>IFERROR(IF('IND-19'!F52="","",'IND-19'!F52),"")</f>
        <v/>
      </c>
      <c r="AS27" s="43" t="str">
        <f>IFERROR(IF('IND-19'!F53="","",'IND-19'!F53),"")</f>
        <v/>
      </c>
      <c r="AT27" s="43" t="str">
        <f>IFERROR(IF('IND-19'!F54="","",'IND-19'!F54),"")</f>
        <v/>
      </c>
      <c r="AU27" s="30" t="str">
        <f>IFERROR(IF('IND-19'!F55="","",'IND-19'!F55),"")</f>
        <v/>
      </c>
      <c r="AV27" s="43" t="str">
        <f>IFERROR(IF('IND-19'!F56="","",'IND-19'!F56),"")</f>
        <v/>
      </c>
      <c r="AW27" s="43" t="str">
        <f>IFERROR(IF('IND-19'!F57="","",'IND-19'!F57),"")</f>
        <v/>
      </c>
      <c r="AX27" s="30" t="str">
        <f>IFERROR(IF('IND-19'!F58="","",'IND-19'!F58),"")</f>
        <v/>
      </c>
      <c r="AY27" s="43" t="str">
        <f>IFERROR(IF('IND-19'!F59="","",'IND-19'!F59),"")</f>
        <v/>
      </c>
      <c r="AZ27" s="43" t="str">
        <f>IFERROR(IF('IND-19'!F60="","",'IND-19'!F60),"")</f>
        <v/>
      </c>
      <c r="BA27" s="30" t="str">
        <f>IFERROR(IF('IND-19'!F61="","",'IND-19'!F61),"")</f>
        <v/>
      </c>
      <c r="BB27" s="43" t="str">
        <f>IFERROR(IF('IND-19'!F62="","",'IND-19'!F62),"")</f>
        <v/>
      </c>
      <c r="BC27" s="43" t="str">
        <f>IFERROR(IF('IND-19'!F63="","",'IND-19'!F63),"")</f>
        <v/>
      </c>
      <c r="BD27" s="30" t="str">
        <f>IFERROR(IF('IND-19'!F64="","",'IND-19'!F64),"")</f>
        <v/>
      </c>
      <c r="BE27" s="43" t="str">
        <f>IFERROR(IF('IND-19'!F65="","",'IND-19'!F65),"")</f>
        <v/>
      </c>
      <c r="BF27" s="43" t="str">
        <f>IFERROR(IF('IND-19'!F66="","",'IND-19'!F66),"")</f>
        <v/>
      </c>
      <c r="BG27" s="30" t="str">
        <f>IFERROR(IF('IND-19'!F67="","",'IND-19'!F67),"")</f>
        <v/>
      </c>
      <c r="BH27" s="43" t="str">
        <f>IFERROR(IF('IND-19'!F68="","",'IND-19'!F68),"")</f>
        <v/>
      </c>
      <c r="BI27" s="43" t="str">
        <f>IFERROR(IF('IND-19'!F69="","",'IND-19'!F69),"")</f>
        <v/>
      </c>
      <c r="BJ27" s="30" t="str">
        <f>IFERROR(IF('IND-19'!F70="","",'IND-19'!F70),"")</f>
        <v/>
      </c>
      <c r="BK27" s="43" t="str">
        <f>IFERROR(IF('IND-19'!F71="","",'IND-19'!F71),"")</f>
        <v/>
      </c>
      <c r="BL27" s="43" t="str">
        <f>IFERROR(IF('IND-19'!F72="","",'IND-19'!F72),"")</f>
        <v/>
      </c>
      <c r="BM27" s="30" t="str">
        <f>IFERROR(IF('IND-19'!F73="","",'IND-19'!F73),"")</f>
        <v/>
      </c>
      <c r="BN27" s="43" t="str">
        <f>IFERROR(IF('IND-19'!F74="","",'IND-19'!F74),"")</f>
        <v/>
      </c>
      <c r="BO27" s="43" t="str">
        <f>IFERROR(IF('IND-19'!F75="","",'IND-19'!F75),"")</f>
        <v/>
      </c>
      <c r="BP27" s="30" t="str">
        <f>IFERROR(IF('IND-19'!F76="","",'IND-19'!F76),"")</f>
        <v/>
      </c>
      <c r="BQ27" s="43" t="str">
        <f>IFERROR(IF('IND-19'!F77="","",'IND-19'!F77),"")</f>
        <v/>
      </c>
      <c r="BR27" s="43" t="str">
        <f>IFERROR(IF('IND-19'!F78="","",'IND-19'!F78),"")</f>
        <v/>
      </c>
      <c r="BS27" s="30" t="str">
        <f>IFERROR(IF('IND-19'!F79="","",'IND-19'!F79),"")</f>
        <v/>
      </c>
      <c r="BT27" s="43" t="str">
        <f>IFERROR(IF('IND-19'!F80="","",'IND-19'!F80),"")</f>
        <v/>
      </c>
      <c r="BU27" s="43" t="str">
        <f>IFERROR(IF('IND-19'!F81="","",'IND-19'!F81),"")</f>
        <v/>
      </c>
      <c r="BV27" s="30" t="str">
        <f>IFERROR(IF('IND-19'!F82="","",'IND-19'!F82),"")</f>
        <v/>
      </c>
      <c r="BW27" s="31" t="str">
        <f>IFERROR(AVERAGE('IND-19'!H23:H34),"")</f>
        <v/>
      </c>
      <c r="BX27" s="31" t="str">
        <f>IFERROR(AVERAGE('IND-19'!H35:H46),"")</f>
        <v/>
      </c>
      <c r="BY27" s="31" t="str">
        <f>IFERROR(AVERAGE('IND-19'!H47:H58),"")</f>
        <v/>
      </c>
      <c r="BZ27" s="31" t="str">
        <f>IFERROR(AVERAGE('IND-19'!H59:H70),"")</f>
        <v/>
      </c>
      <c r="CA27" s="31" t="str">
        <f>IFERROR(AVERAGE('IND-19'!H71:H82),"")</f>
        <v/>
      </c>
      <c r="CB27" s="32" t="str">
        <f t="shared" si="1"/>
        <v>⚪ Pendiente</v>
      </c>
    </row>
    <row r="28" spans="2:80" ht="21.75" customHeight="1" x14ac:dyDescent="0.35">
      <c r="B28" s="83" t="s">
        <v>186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</row>
    <row r="29" spans="2:80" ht="37.5" customHeight="1" x14ac:dyDescent="0.35">
      <c r="B29" s="23" t="s">
        <v>86</v>
      </c>
      <c r="C29" s="24" t="s">
        <v>87</v>
      </c>
      <c r="D29" s="25" t="s">
        <v>187</v>
      </c>
      <c r="E29" s="25" t="s">
        <v>188</v>
      </c>
      <c r="F29" s="26" t="s">
        <v>139</v>
      </c>
      <c r="G29" s="44" t="s">
        <v>140</v>
      </c>
      <c r="H29" s="26" t="s">
        <v>69</v>
      </c>
      <c r="I29" s="28" t="str">
        <f>VLOOKUP("IND-20",Parámetros!$B$6:$F$30,5,FALSE())</f>
        <v>Tecnología</v>
      </c>
      <c r="J29" s="29">
        <f>'IND-20'!C14</f>
        <v>0.3</v>
      </c>
      <c r="K29" s="29">
        <f>'IND-20'!C15</f>
        <v>0.45</v>
      </c>
      <c r="L29" s="29">
        <f>'IND-20'!C16</f>
        <v>0.55000000000000004</v>
      </c>
      <c r="M29" s="29">
        <f>'IND-20'!C17</f>
        <v>0.65</v>
      </c>
      <c r="N29" s="29">
        <f>'IND-20'!C18</f>
        <v>0.7</v>
      </c>
      <c r="O29" s="43" t="str">
        <f>IFERROR(IF('IND-20'!G23="","",'IND-20'!G23),"")</f>
        <v/>
      </c>
      <c r="P29" s="43" t="str">
        <f>IFERROR(IF('IND-20'!G24="","",'IND-20'!G24),"")</f>
        <v/>
      </c>
      <c r="Q29" s="43" t="str">
        <f>IFERROR(IF('IND-20'!G25="","",'IND-20'!G25),"")</f>
        <v/>
      </c>
      <c r="R29" s="43" t="str">
        <f>IFERROR(IF('IND-20'!G26="","",'IND-20'!G26),"")</f>
        <v/>
      </c>
      <c r="S29" s="43" t="str">
        <f>IFERROR(IF('IND-20'!G27="","",'IND-20'!G27),"")</f>
        <v/>
      </c>
      <c r="T29" s="30">
        <f>IFERROR(IF('IND-20'!G28="","",'IND-20'!G28),"")</f>
        <v>0.16</v>
      </c>
      <c r="U29" s="43" t="str">
        <f>IFERROR(IF('IND-20'!G29="","",'IND-20'!G29),"")</f>
        <v/>
      </c>
      <c r="V29" s="43" t="str">
        <f>IFERROR(IF('IND-20'!G30="","",'IND-20'!G30),"")</f>
        <v/>
      </c>
      <c r="W29" s="43" t="str">
        <f>IFERROR(IF('IND-20'!G31="","",'IND-20'!G31),"")</f>
        <v/>
      </c>
      <c r="X29" s="43" t="str">
        <f>IFERROR(IF('IND-20'!G32="","",'IND-20'!G32),"")</f>
        <v/>
      </c>
      <c r="Y29" s="43" t="str">
        <f>IFERROR(IF('IND-20'!G33="","",'IND-20'!G33),"")</f>
        <v/>
      </c>
      <c r="Z29" s="30">
        <f>IFERROR(IF('IND-20'!G34="","",'IND-20'!G34),"")</f>
        <v>0.24</v>
      </c>
      <c r="AA29" s="43" t="str">
        <f>IFERROR(IF('IND-20'!G35="","",'IND-20'!G35),"")</f>
        <v/>
      </c>
      <c r="AB29" s="43" t="str">
        <f>IFERROR(IF('IND-20'!G36="","",'IND-20'!G36),"")</f>
        <v/>
      </c>
      <c r="AC29" s="43" t="str">
        <f>IFERROR(IF('IND-20'!G37="","",'IND-20'!G37),"")</f>
        <v/>
      </c>
      <c r="AD29" s="43" t="str">
        <f>IFERROR(IF('IND-20'!G38="","",'IND-20'!G38),"")</f>
        <v/>
      </c>
      <c r="AE29" s="43" t="str">
        <f>IFERROR(IF('IND-20'!G39="","",'IND-20'!G39),"")</f>
        <v/>
      </c>
      <c r="AF29" s="30">
        <f>IFERROR(IF('IND-20'!G40="","",'IND-20'!G40),"")</f>
        <v>0.32</v>
      </c>
      <c r="AG29" s="43" t="str">
        <f>IFERROR(IF('IND-20'!G41="","",'IND-20'!G41),"")</f>
        <v/>
      </c>
      <c r="AH29" s="43" t="str">
        <f>IFERROR(IF('IND-20'!G42="","",'IND-20'!G42),"")</f>
        <v/>
      </c>
      <c r="AI29" s="43" t="str">
        <f>IFERROR(IF('IND-20'!G43="","",'IND-20'!G43),"")</f>
        <v/>
      </c>
      <c r="AJ29" s="43" t="str">
        <f>IFERROR(IF('IND-20'!G44="","",'IND-20'!G44),"")</f>
        <v/>
      </c>
      <c r="AK29" s="43" t="str">
        <f>IFERROR(IF('IND-20'!G45="","",'IND-20'!G45),"")</f>
        <v/>
      </c>
      <c r="AL29" s="30" t="str">
        <f>IFERROR(IF('IND-20'!G46="","",'IND-20'!G46),"")</f>
        <v/>
      </c>
      <c r="AM29" s="43" t="str">
        <f>IFERROR(IF('IND-20'!G47="","",'IND-20'!G47),"")</f>
        <v/>
      </c>
      <c r="AN29" s="43" t="str">
        <f>IFERROR(IF('IND-20'!G48="","",'IND-20'!G48),"")</f>
        <v/>
      </c>
      <c r="AO29" s="43" t="str">
        <f>IFERROR(IF('IND-20'!G49="","",'IND-20'!G49),"")</f>
        <v/>
      </c>
      <c r="AP29" s="43" t="str">
        <f>IFERROR(IF('IND-20'!G50="","",'IND-20'!G50),"")</f>
        <v/>
      </c>
      <c r="AQ29" s="43" t="str">
        <f>IFERROR(IF('IND-20'!G51="","",'IND-20'!G51),"")</f>
        <v/>
      </c>
      <c r="AR29" s="30" t="str">
        <f>IFERROR(IF('IND-20'!G52="","",'IND-20'!G52),"")</f>
        <v/>
      </c>
      <c r="AS29" s="43" t="str">
        <f>IFERROR(IF('IND-20'!G53="","",'IND-20'!G53),"")</f>
        <v/>
      </c>
      <c r="AT29" s="43" t="str">
        <f>IFERROR(IF('IND-20'!G54="","",'IND-20'!G54),"")</f>
        <v/>
      </c>
      <c r="AU29" s="43" t="str">
        <f>IFERROR(IF('IND-20'!G55="","",'IND-20'!G55),"")</f>
        <v/>
      </c>
      <c r="AV29" s="43" t="str">
        <f>IFERROR(IF('IND-20'!G56="","",'IND-20'!G56),"")</f>
        <v/>
      </c>
      <c r="AW29" s="43" t="str">
        <f>IFERROR(IF('IND-20'!G57="","",'IND-20'!G57),"")</f>
        <v/>
      </c>
      <c r="AX29" s="30" t="str">
        <f>IFERROR(IF('IND-20'!G58="","",'IND-20'!G58),"")</f>
        <v/>
      </c>
      <c r="AY29" s="43" t="str">
        <f>IFERROR(IF('IND-20'!G59="","",'IND-20'!G59),"")</f>
        <v/>
      </c>
      <c r="AZ29" s="43" t="str">
        <f>IFERROR(IF('IND-20'!G60="","",'IND-20'!G60),"")</f>
        <v/>
      </c>
      <c r="BA29" s="43" t="str">
        <f>IFERROR(IF('IND-20'!G61="","",'IND-20'!G61),"")</f>
        <v/>
      </c>
      <c r="BB29" s="43" t="str">
        <f>IFERROR(IF('IND-20'!G62="","",'IND-20'!G62),"")</f>
        <v/>
      </c>
      <c r="BC29" s="43" t="str">
        <f>IFERROR(IF('IND-20'!G63="","",'IND-20'!G63),"")</f>
        <v/>
      </c>
      <c r="BD29" s="30" t="str">
        <f>IFERROR(IF('IND-20'!G64="","",'IND-20'!G64),"")</f>
        <v/>
      </c>
      <c r="BE29" s="43" t="str">
        <f>IFERROR(IF('IND-20'!G65="","",'IND-20'!G65),"")</f>
        <v/>
      </c>
      <c r="BF29" s="43" t="str">
        <f>IFERROR(IF('IND-20'!G66="","",'IND-20'!G66),"")</f>
        <v/>
      </c>
      <c r="BG29" s="43" t="str">
        <f>IFERROR(IF('IND-20'!G67="","",'IND-20'!G67),"")</f>
        <v/>
      </c>
      <c r="BH29" s="43" t="str">
        <f>IFERROR(IF('IND-20'!G68="","",'IND-20'!G68),"")</f>
        <v/>
      </c>
      <c r="BI29" s="43" t="str">
        <f>IFERROR(IF('IND-20'!G69="","",'IND-20'!G69),"")</f>
        <v/>
      </c>
      <c r="BJ29" s="30" t="str">
        <f>IFERROR(IF('IND-20'!G70="","",'IND-20'!G70),"")</f>
        <v/>
      </c>
      <c r="BK29" s="43" t="str">
        <f>IFERROR(IF('IND-20'!G71="","",'IND-20'!G71),"")</f>
        <v/>
      </c>
      <c r="BL29" s="43" t="str">
        <f>IFERROR(IF('IND-20'!G72="","",'IND-20'!G72),"")</f>
        <v/>
      </c>
      <c r="BM29" s="43" t="str">
        <f>IFERROR(IF('IND-20'!G73="","",'IND-20'!G73),"")</f>
        <v/>
      </c>
      <c r="BN29" s="43" t="str">
        <f>IFERROR(IF('IND-20'!G74="","",'IND-20'!G74),"")</f>
        <v/>
      </c>
      <c r="BO29" s="43" t="str">
        <f>IFERROR(IF('IND-20'!G75="","",'IND-20'!G75),"")</f>
        <v/>
      </c>
      <c r="BP29" s="30" t="str">
        <f>IFERROR(IF('IND-20'!G76="","",'IND-20'!G76),"")</f>
        <v/>
      </c>
      <c r="BQ29" s="43" t="str">
        <f>IFERROR(IF('IND-20'!G77="","",'IND-20'!G77),"")</f>
        <v/>
      </c>
      <c r="BR29" s="43" t="str">
        <f>IFERROR(IF('IND-20'!G78="","",'IND-20'!G78),"")</f>
        <v/>
      </c>
      <c r="BS29" s="43" t="str">
        <f>IFERROR(IF('IND-20'!G79="","",'IND-20'!G79),"")</f>
        <v/>
      </c>
      <c r="BT29" s="43" t="str">
        <f>IFERROR(IF('IND-20'!G80="","",'IND-20'!G80),"")</f>
        <v/>
      </c>
      <c r="BU29" s="43" t="str">
        <f>IFERROR(IF('IND-20'!G81="","",'IND-20'!G81),"")</f>
        <v/>
      </c>
      <c r="BV29" s="30" t="str">
        <f>IFERROR(IF('IND-20'!G82="","",'IND-20'!G82),"")</f>
        <v/>
      </c>
      <c r="BW29" s="31">
        <f>IFERROR(AVERAGE('IND-20'!I23:I34),"")</f>
        <v>0.66666666666666674</v>
      </c>
      <c r="BX29" s="31">
        <f>IFERROR(AVERAGE('IND-20'!I35:I46),"")</f>
        <v>0.71111111111111114</v>
      </c>
      <c r="BY29" s="31" t="str">
        <f>IFERROR(AVERAGE('IND-20'!I47:I58),"")</f>
        <v/>
      </c>
      <c r="BZ29" s="31" t="str">
        <f>IFERROR(AVERAGE('IND-20'!I59:I70),"")</f>
        <v/>
      </c>
      <c r="CA29" s="31" t="str">
        <f>IFERROR(AVERAGE('IND-20'!I71:I82),"")</f>
        <v/>
      </c>
      <c r="CB29" s="32" t="str">
        <f>IFERROR(IF(LOOKUP(2,1/((BW29:CA29&lt;&gt;"")*(ISNUMBER(BW29:CA29))),BW29:CA29)&gt;=0.95,"🟢 Cumple",IF(LOOKUP(2,1/((BW29:CA29&lt;&gt;"")*(ISNUMBER(BW29:CA29))),BW29:CA29)&gt;=0.8,"🟡 En riesgo","🔴 Crítico")),"⚪ Pendiente")</f>
        <v>🔴 Crítico</v>
      </c>
    </row>
    <row r="30" spans="2:80" ht="37.5" customHeight="1" x14ac:dyDescent="0.35">
      <c r="B30" s="23" t="s">
        <v>89</v>
      </c>
      <c r="C30" s="24" t="s">
        <v>90</v>
      </c>
      <c r="D30" s="25" t="s">
        <v>189</v>
      </c>
      <c r="E30" s="25" t="s">
        <v>190</v>
      </c>
      <c r="F30" s="26" t="s">
        <v>139</v>
      </c>
      <c r="G30" s="44" t="s">
        <v>140</v>
      </c>
      <c r="H30" s="26" t="s">
        <v>83</v>
      </c>
      <c r="I30" s="28" t="str">
        <f>VLOOKUP("IND-21",Parámetros!$B$6:$F$30,5,FALSE())</f>
        <v>Por definir</v>
      </c>
      <c r="J30" s="29">
        <f>'IND-21'!C14</f>
        <v>0.8</v>
      </c>
      <c r="K30" s="29">
        <f>'IND-21'!C15</f>
        <v>0.8</v>
      </c>
      <c r="L30" s="29">
        <f>'IND-21'!C16</f>
        <v>0.8</v>
      </c>
      <c r="M30" s="29">
        <f>'IND-21'!C17</f>
        <v>0.8</v>
      </c>
      <c r="N30" s="29">
        <f>'IND-21'!C18</f>
        <v>0.8</v>
      </c>
      <c r="O30" s="43" t="str">
        <f>IFERROR(IF('IND-21'!G23="","",'IND-21'!G23),"")</f>
        <v/>
      </c>
      <c r="P30" s="43" t="str">
        <f>IFERROR(IF('IND-21'!G24="","",'IND-21'!G24),"")</f>
        <v/>
      </c>
      <c r="Q30" s="30" t="str">
        <f>IFERROR(IF('IND-21'!G25="","",'IND-21'!G25),"")</f>
        <v/>
      </c>
      <c r="R30" s="43" t="str">
        <f>IFERROR(IF('IND-21'!G26="","",'IND-21'!G26),"")</f>
        <v/>
      </c>
      <c r="S30" s="43" t="str">
        <f>IFERROR(IF('IND-21'!G27="","",'IND-21'!G27),"")</f>
        <v/>
      </c>
      <c r="T30" s="30" t="str">
        <f>IFERROR(IF('IND-21'!G28="","",'IND-21'!G28),"")</f>
        <v/>
      </c>
      <c r="U30" s="43" t="str">
        <f>IFERROR(IF('IND-21'!G29="","",'IND-21'!G29),"")</f>
        <v/>
      </c>
      <c r="V30" s="43" t="str">
        <f>IFERROR(IF('IND-21'!G30="","",'IND-21'!G30),"")</f>
        <v/>
      </c>
      <c r="W30" s="30" t="str">
        <f>IFERROR(IF('IND-21'!G31="","",'IND-21'!G31),"")</f>
        <v/>
      </c>
      <c r="X30" s="43" t="str">
        <f>IFERROR(IF('IND-21'!G32="","",'IND-21'!G32),"")</f>
        <v/>
      </c>
      <c r="Y30" s="43" t="str">
        <f>IFERROR(IF('IND-21'!G33="","",'IND-21'!G33),"")</f>
        <v/>
      </c>
      <c r="Z30" s="30" t="str">
        <f>IFERROR(IF('IND-21'!G34="","",'IND-21'!G34),"")</f>
        <v/>
      </c>
      <c r="AA30" s="43" t="str">
        <f>IFERROR(IF('IND-21'!G35="","",'IND-21'!G35),"")</f>
        <v/>
      </c>
      <c r="AB30" s="43" t="str">
        <f>IFERROR(IF('IND-21'!G36="","",'IND-21'!G36),"")</f>
        <v/>
      </c>
      <c r="AC30" s="30" t="str">
        <f>IFERROR(IF('IND-21'!G37="","",'IND-21'!G37),"")</f>
        <v/>
      </c>
      <c r="AD30" s="43" t="str">
        <f>IFERROR(IF('IND-21'!G38="","",'IND-21'!G38),"")</f>
        <v/>
      </c>
      <c r="AE30" s="43" t="str">
        <f>IFERROR(IF('IND-21'!G39="","",'IND-21'!G39),"")</f>
        <v/>
      </c>
      <c r="AF30" s="30" t="str">
        <f>IFERROR(IF('IND-21'!G40="","",'IND-21'!G40),"")</f>
        <v/>
      </c>
      <c r="AG30" s="43" t="str">
        <f>IFERROR(IF('IND-21'!G41="","",'IND-21'!G41),"")</f>
        <v/>
      </c>
      <c r="AH30" s="43" t="str">
        <f>IFERROR(IF('IND-21'!G42="","",'IND-21'!G42),"")</f>
        <v/>
      </c>
      <c r="AI30" s="30" t="str">
        <f>IFERROR(IF('IND-21'!G43="","",'IND-21'!G43),"")</f>
        <v/>
      </c>
      <c r="AJ30" s="43" t="str">
        <f>IFERROR(IF('IND-21'!G44="","",'IND-21'!G44),"")</f>
        <v/>
      </c>
      <c r="AK30" s="43" t="str">
        <f>IFERROR(IF('IND-21'!G45="","",'IND-21'!G45),"")</f>
        <v/>
      </c>
      <c r="AL30" s="30" t="str">
        <f>IFERROR(IF('IND-21'!G46="","",'IND-21'!G46),"")</f>
        <v/>
      </c>
      <c r="AM30" s="43" t="str">
        <f>IFERROR(IF('IND-21'!G47="","",'IND-21'!G47),"")</f>
        <v/>
      </c>
      <c r="AN30" s="43" t="str">
        <f>IFERROR(IF('IND-21'!G48="","",'IND-21'!G48),"")</f>
        <v/>
      </c>
      <c r="AO30" s="30" t="str">
        <f>IFERROR(IF('IND-21'!G49="","",'IND-21'!G49),"")</f>
        <v/>
      </c>
      <c r="AP30" s="43" t="str">
        <f>IFERROR(IF('IND-21'!G50="","",'IND-21'!G50),"")</f>
        <v/>
      </c>
      <c r="AQ30" s="43" t="str">
        <f>IFERROR(IF('IND-21'!G51="","",'IND-21'!G51),"")</f>
        <v/>
      </c>
      <c r="AR30" s="30" t="str">
        <f>IFERROR(IF('IND-21'!G52="","",'IND-21'!G52),"")</f>
        <v/>
      </c>
      <c r="AS30" s="43" t="str">
        <f>IFERROR(IF('IND-21'!G53="","",'IND-21'!G53),"")</f>
        <v/>
      </c>
      <c r="AT30" s="43" t="str">
        <f>IFERROR(IF('IND-21'!G54="","",'IND-21'!G54),"")</f>
        <v/>
      </c>
      <c r="AU30" s="30" t="str">
        <f>IFERROR(IF('IND-21'!G55="","",'IND-21'!G55),"")</f>
        <v/>
      </c>
      <c r="AV30" s="43" t="str">
        <f>IFERROR(IF('IND-21'!G56="","",'IND-21'!G56),"")</f>
        <v/>
      </c>
      <c r="AW30" s="43" t="str">
        <f>IFERROR(IF('IND-21'!G57="","",'IND-21'!G57),"")</f>
        <v/>
      </c>
      <c r="AX30" s="30" t="str">
        <f>IFERROR(IF('IND-21'!G58="","",'IND-21'!G58),"")</f>
        <v/>
      </c>
      <c r="AY30" s="43" t="str">
        <f>IFERROR(IF('IND-21'!G59="","",'IND-21'!G59),"")</f>
        <v/>
      </c>
      <c r="AZ30" s="43" t="str">
        <f>IFERROR(IF('IND-21'!G60="","",'IND-21'!G60),"")</f>
        <v/>
      </c>
      <c r="BA30" s="30" t="str">
        <f>IFERROR(IF('IND-21'!G61="","",'IND-21'!G61),"")</f>
        <v/>
      </c>
      <c r="BB30" s="43" t="str">
        <f>IFERROR(IF('IND-21'!G62="","",'IND-21'!G62),"")</f>
        <v/>
      </c>
      <c r="BC30" s="43" t="str">
        <f>IFERROR(IF('IND-21'!G63="","",'IND-21'!G63),"")</f>
        <v/>
      </c>
      <c r="BD30" s="30" t="str">
        <f>IFERROR(IF('IND-21'!G64="","",'IND-21'!G64),"")</f>
        <v/>
      </c>
      <c r="BE30" s="43" t="str">
        <f>IFERROR(IF('IND-21'!G65="","",'IND-21'!G65),"")</f>
        <v/>
      </c>
      <c r="BF30" s="43" t="str">
        <f>IFERROR(IF('IND-21'!G66="","",'IND-21'!G66),"")</f>
        <v/>
      </c>
      <c r="BG30" s="30" t="str">
        <f>IFERROR(IF('IND-21'!G67="","",'IND-21'!G67),"")</f>
        <v/>
      </c>
      <c r="BH30" s="43" t="str">
        <f>IFERROR(IF('IND-21'!G68="","",'IND-21'!G68),"")</f>
        <v/>
      </c>
      <c r="BI30" s="43" t="str">
        <f>IFERROR(IF('IND-21'!G69="","",'IND-21'!G69),"")</f>
        <v/>
      </c>
      <c r="BJ30" s="30" t="str">
        <f>IFERROR(IF('IND-21'!G70="","",'IND-21'!G70),"")</f>
        <v/>
      </c>
      <c r="BK30" s="43" t="str">
        <f>IFERROR(IF('IND-21'!G71="","",'IND-21'!G71),"")</f>
        <v/>
      </c>
      <c r="BL30" s="43" t="str">
        <f>IFERROR(IF('IND-21'!G72="","",'IND-21'!G72),"")</f>
        <v/>
      </c>
      <c r="BM30" s="30" t="str">
        <f>IFERROR(IF('IND-21'!G73="","",'IND-21'!G73),"")</f>
        <v/>
      </c>
      <c r="BN30" s="43" t="str">
        <f>IFERROR(IF('IND-21'!G74="","",'IND-21'!G74),"")</f>
        <v/>
      </c>
      <c r="BO30" s="43" t="str">
        <f>IFERROR(IF('IND-21'!G75="","",'IND-21'!G75),"")</f>
        <v/>
      </c>
      <c r="BP30" s="30" t="str">
        <f>IFERROR(IF('IND-21'!G76="","",'IND-21'!G76),"")</f>
        <v/>
      </c>
      <c r="BQ30" s="43" t="str">
        <f>IFERROR(IF('IND-21'!G77="","",'IND-21'!G77),"")</f>
        <v/>
      </c>
      <c r="BR30" s="43" t="str">
        <f>IFERROR(IF('IND-21'!G78="","",'IND-21'!G78),"")</f>
        <v/>
      </c>
      <c r="BS30" s="30" t="str">
        <f>IFERROR(IF('IND-21'!G79="","",'IND-21'!G79),"")</f>
        <v/>
      </c>
      <c r="BT30" s="43" t="str">
        <f>IFERROR(IF('IND-21'!G80="","",'IND-21'!G80),"")</f>
        <v/>
      </c>
      <c r="BU30" s="43" t="str">
        <f>IFERROR(IF('IND-21'!G81="","",'IND-21'!G81),"")</f>
        <v/>
      </c>
      <c r="BV30" s="30" t="str">
        <f>IFERROR(IF('IND-21'!G82="","",'IND-21'!G82),"")</f>
        <v/>
      </c>
      <c r="BW30" s="31" t="str">
        <f>IFERROR(AVERAGE('IND-21'!I23:I34),"")</f>
        <v/>
      </c>
      <c r="BX30" s="31" t="str">
        <f>IFERROR(AVERAGE('IND-21'!I35:I46),"")</f>
        <v/>
      </c>
      <c r="BY30" s="31" t="str">
        <f>IFERROR(AVERAGE('IND-21'!I47:I58),"")</f>
        <v/>
      </c>
      <c r="BZ30" s="31" t="str">
        <f>IFERROR(AVERAGE('IND-21'!I59:I70),"")</f>
        <v/>
      </c>
      <c r="CA30" s="31" t="str">
        <f>IFERROR(AVERAGE('IND-21'!I71:I82),"")</f>
        <v/>
      </c>
      <c r="CB30" s="32" t="str">
        <f>IFERROR(IF(LOOKUP(2,1/((BW30:CA30&lt;&gt;"")*(ISNUMBER(BW30:CA30))),BW30:CA30)&gt;=0.95,"🟢 Cumple",IF(LOOKUP(2,1/((BW30:CA30&lt;&gt;"")*(ISNUMBER(BW30:CA30))),BW30:CA30)&gt;=0.8,"🟡 En riesgo","🔴 Crítico")),"⚪ Pendiente")</f>
        <v>⚪ Pendiente</v>
      </c>
    </row>
    <row r="31" spans="2:80" ht="21.75" customHeight="1" x14ac:dyDescent="0.35">
      <c r="B31" s="85" t="s">
        <v>191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</row>
    <row r="32" spans="2:80" ht="37.5" customHeight="1" x14ac:dyDescent="0.35">
      <c r="B32" s="23" t="s">
        <v>93</v>
      </c>
      <c r="C32" s="24" t="s">
        <v>94</v>
      </c>
      <c r="D32" s="25" t="s">
        <v>192</v>
      </c>
      <c r="E32" s="25" t="s">
        <v>193</v>
      </c>
      <c r="F32" s="26" t="s">
        <v>139</v>
      </c>
      <c r="G32" s="45" t="s">
        <v>140</v>
      </c>
      <c r="H32" s="26" t="s">
        <v>83</v>
      </c>
      <c r="I32" s="28" t="str">
        <f>VLOOKUP("IND-22",Parámetros!$B$6:$F$30,5,FALSE())</f>
        <v>Por definir</v>
      </c>
      <c r="J32" s="29">
        <f>'IND-22'!C14</f>
        <v>0.4</v>
      </c>
      <c r="K32" s="29">
        <f>'IND-22'!C15</f>
        <v>0.4</v>
      </c>
      <c r="L32" s="29">
        <f>'IND-22'!C16</f>
        <v>0.4</v>
      </c>
      <c r="M32" s="29">
        <f>'IND-22'!C17</f>
        <v>0.4</v>
      </c>
      <c r="N32" s="29">
        <f>'IND-22'!C18</f>
        <v>0.4</v>
      </c>
      <c r="O32" s="43" t="str">
        <f>IFERROR(IF('IND-22'!G23="","",'IND-22'!G23),"")</f>
        <v/>
      </c>
      <c r="P32" s="43" t="str">
        <f>IFERROR(IF('IND-22'!G24="","",'IND-22'!G24),"")</f>
        <v/>
      </c>
      <c r="Q32" s="30" t="str">
        <f>IFERROR(IF('IND-22'!G25="","",'IND-22'!G25),"")</f>
        <v/>
      </c>
      <c r="R32" s="43" t="str">
        <f>IFERROR(IF('IND-22'!G26="","",'IND-22'!G26),"")</f>
        <v/>
      </c>
      <c r="S32" s="43" t="str">
        <f>IFERROR(IF('IND-22'!G27="","",'IND-22'!G27),"")</f>
        <v/>
      </c>
      <c r="T32" s="30" t="str">
        <f>IFERROR(IF('IND-22'!G28="","",'IND-22'!G28),"")</f>
        <v/>
      </c>
      <c r="U32" s="43" t="str">
        <f>IFERROR(IF('IND-22'!G29="","",'IND-22'!G29),"")</f>
        <v/>
      </c>
      <c r="V32" s="43" t="str">
        <f>IFERROR(IF('IND-22'!G30="","",'IND-22'!G30),"")</f>
        <v/>
      </c>
      <c r="W32" s="30" t="str">
        <f>IFERROR(IF('IND-22'!G31="","",'IND-22'!G31),"")</f>
        <v/>
      </c>
      <c r="X32" s="43" t="str">
        <f>IFERROR(IF('IND-22'!G32="","",'IND-22'!G32),"")</f>
        <v/>
      </c>
      <c r="Y32" s="43" t="str">
        <f>IFERROR(IF('IND-22'!G33="","",'IND-22'!G33),"")</f>
        <v/>
      </c>
      <c r="Z32" s="30" t="str">
        <f>IFERROR(IF('IND-22'!G34="","",'IND-22'!G34),"")</f>
        <v/>
      </c>
      <c r="AA32" s="43" t="str">
        <f>IFERROR(IF('IND-22'!G35="","",'IND-22'!G35),"")</f>
        <v/>
      </c>
      <c r="AB32" s="43" t="str">
        <f>IFERROR(IF('IND-22'!G36="","",'IND-22'!G36),"")</f>
        <v/>
      </c>
      <c r="AC32" s="30" t="str">
        <f>IFERROR(IF('IND-22'!G37="","",'IND-22'!G37),"")</f>
        <v/>
      </c>
      <c r="AD32" s="43" t="str">
        <f>IFERROR(IF('IND-22'!G38="","",'IND-22'!G38),"")</f>
        <v/>
      </c>
      <c r="AE32" s="43" t="str">
        <f>IFERROR(IF('IND-22'!G39="","",'IND-22'!G39),"")</f>
        <v/>
      </c>
      <c r="AF32" s="30" t="str">
        <f>IFERROR(IF('IND-22'!G40="","",'IND-22'!G40),"")</f>
        <v/>
      </c>
      <c r="AG32" s="43" t="str">
        <f>IFERROR(IF('IND-22'!G41="","",'IND-22'!G41),"")</f>
        <v/>
      </c>
      <c r="AH32" s="43" t="str">
        <f>IFERROR(IF('IND-22'!G42="","",'IND-22'!G42),"")</f>
        <v/>
      </c>
      <c r="AI32" s="30" t="str">
        <f>IFERROR(IF('IND-22'!G43="","",'IND-22'!G43),"")</f>
        <v/>
      </c>
      <c r="AJ32" s="43" t="str">
        <f>IFERROR(IF('IND-22'!G44="","",'IND-22'!G44),"")</f>
        <v/>
      </c>
      <c r="AK32" s="43" t="str">
        <f>IFERROR(IF('IND-22'!G45="","",'IND-22'!G45),"")</f>
        <v/>
      </c>
      <c r="AL32" s="30" t="str">
        <f>IFERROR(IF('IND-22'!G46="","",'IND-22'!G46),"")</f>
        <v/>
      </c>
      <c r="AM32" s="43" t="str">
        <f>IFERROR(IF('IND-22'!G47="","",'IND-22'!G47),"")</f>
        <v/>
      </c>
      <c r="AN32" s="43" t="str">
        <f>IFERROR(IF('IND-22'!G48="","",'IND-22'!G48),"")</f>
        <v/>
      </c>
      <c r="AO32" s="30" t="str">
        <f>IFERROR(IF('IND-22'!G49="","",'IND-22'!G49),"")</f>
        <v/>
      </c>
      <c r="AP32" s="43" t="str">
        <f>IFERROR(IF('IND-22'!G50="","",'IND-22'!G50),"")</f>
        <v/>
      </c>
      <c r="AQ32" s="43" t="str">
        <f>IFERROR(IF('IND-22'!G51="","",'IND-22'!G51),"")</f>
        <v/>
      </c>
      <c r="AR32" s="30" t="str">
        <f>IFERROR(IF('IND-22'!G52="","",'IND-22'!G52),"")</f>
        <v/>
      </c>
      <c r="AS32" s="43" t="str">
        <f>IFERROR(IF('IND-22'!G53="","",'IND-22'!G53),"")</f>
        <v/>
      </c>
      <c r="AT32" s="43" t="str">
        <f>IFERROR(IF('IND-22'!G54="","",'IND-22'!G54),"")</f>
        <v/>
      </c>
      <c r="AU32" s="30" t="str">
        <f>IFERROR(IF('IND-22'!G55="","",'IND-22'!G55),"")</f>
        <v/>
      </c>
      <c r="AV32" s="43" t="str">
        <f>IFERROR(IF('IND-22'!G56="","",'IND-22'!G56),"")</f>
        <v/>
      </c>
      <c r="AW32" s="43" t="str">
        <f>IFERROR(IF('IND-22'!G57="","",'IND-22'!G57),"")</f>
        <v/>
      </c>
      <c r="AX32" s="30" t="str">
        <f>IFERROR(IF('IND-22'!G58="","",'IND-22'!G58),"")</f>
        <v/>
      </c>
      <c r="AY32" s="43" t="str">
        <f>IFERROR(IF('IND-22'!G59="","",'IND-22'!G59),"")</f>
        <v/>
      </c>
      <c r="AZ32" s="43" t="str">
        <f>IFERROR(IF('IND-22'!G60="","",'IND-22'!G60),"")</f>
        <v/>
      </c>
      <c r="BA32" s="30" t="str">
        <f>IFERROR(IF('IND-22'!G61="","",'IND-22'!G61),"")</f>
        <v/>
      </c>
      <c r="BB32" s="43" t="str">
        <f>IFERROR(IF('IND-22'!G62="","",'IND-22'!G62),"")</f>
        <v/>
      </c>
      <c r="BC32" s="43" t="str">
        <f>IFERROR(IF('IND-22'!G63="","",'IND-22'!G63),"")</f>
        <v/>
      </c>
      <c r="BD32" s="30" t="str">
        <f>IFERROR(IF('IND-22'!G64="","",'IND-22'!G64),"")</f>
        <v/>
      </c>
      <c r="BE32" s="43" t="str">
        <f>IFERROR(IF('IND-22'!G65="","",'IND-22'!G65),"")</f>
        <v/>
      </c>
      <c r="BF32" s="43" t="str">
        <f>IFERROR(IF('IND-22'!G66="","",'IND-22'!G66),"")</f>
        <v/>
      </c>
      <c r="BG32" s="30" t="str">
        <f>IFERROR(IF('IND-22'!G67="","",'IND-22'!G67),"")</f>
        <v/>
      </c>
      <c r="BH32" s="43" t="str">
        <f>IFERROR(IF('IND-22'!G68="","",'IND-22'!G68),"")</f>
        <v/>
      </c>
      <c r="BI32" s="43" t="str">
        <f>IFERROR(IF('IND-22'!G69="","",'IND-22'!G69),"")</f>
        <v/>
      </c>
      <c r="BJ32" s="30" t="str">
        <f>IFERROR(IF('IND-22'!G70="","",'IND-22'!G70),"")</f>
        <v/>
      </c>
      <c r="BK32" s="43" t="str">
        <f>IFERROR(IF('IND-22'!G71="","",'IND-22'!G71),"")</f>
        <v/>
      </c>
      <c r="BL32" s="43" t="str">
        <f>IFERROR(IF('IND-22'!G72="","",'IND-22'!G72),"")</f>
        <v/>
      </c>
      <c r="BM32" s="30" t="str">
        <f>IFERROR(IF('IND-22'!G73="","",'IND-22'!G73),"")</f>
        <v/>
      </c>
      <c r="BN32" s="43" t="str">
        <f>IFERROR(IF('IND-22'!G74="","",'IND-22'!G74),"")</f>
        <v/>
      </c>
      <c r="BO32" s="43" t="str">
        <f>IFERROR(IF('IND-22'!G75="","",'IND-22'!G75),"")</f>
        <v/>
      </c>
      <c r="BP32" s="30" t="str">
        <f>IFERROR(IF('IND-22'!G76="","",'IND-22'!G76),"")</f>
        <v/>
      </c>
      <c r="BQ32" s="43" t="str">
        <f>IFERROR(IF('IND-22'!G77="","",'IND-22'!G77),"")</f>
        <v/>
      </c>
      <c r="BR32" s="43" t="str">
        <f>IFERROR(IF('IND-22'!G78="","",'IND-22'!G78),"")</f>
        <v/>
      </c>
      <c r="BS32" s="30" t="str">
        <f>IFERROR(IF('IND-22'!G79="","",'IND-22'!G79),"")</f>
        <v/>
      </c>
      <c r="BT32" s="43" t="str">
        <f>IFERROR(IF('IND-22'!G80="","",'IND-22'!G80),"")</f>
        <v/>
      </c>
      <c r="BU32" s="43" t="str">
        <f>IFERROR(IF('IND-22'!G81="","",'IND-22'!G81),"")</f>
        <v/>
      </c>
      <c r="BV32" s="30" t="str">
        <f>IFERROR(IF('IND-22'!G82="","",'IND-22'!G82),"")</f>
        <v/>
      </c>
      <c r="BW32" s="31" t="str">
        <f>IFERROR(AVERAGE('IND-22'!I23:I34),"")</f>
        <v/>
      </c>
      <c r="BX32" s="31" t="str">
        <f>IFERROR(AVERAGE('IND-22'!I35:I46),"")</f>
        <v/>
      </c>
      <c r="BY32" s="31" t="str">
        <f>IFERROR(AVERAGE('IND-22'!I47:I58),"")</f>
        <v/>
      </c>
      <c r="BZ32" s="31" t="str">
        <f>IFERROR(AVERAGE('IND-22'!I59:I70),"")</f>
        <v/>
      </c>
      <c r="CA32" s="31" t="str">
        <f>IFERROR(AVERAGE('IND-22'!I71:I82),"")</f>
        <v/>
      </c>
      <c r="CB32" s="32" t="str">
        <f>IFERROR(IF(LOOKUP(2,1/((BW32:CA32&lt;&gt;"")*(ISNUMBER(BW32:CA32))),BW32:CA32)&gt;=0.95,"🟢 Cumple",IF(LOOKUP(2,1/((BW32:CA32&lt;&gt;"")*(ISNUMBER(BW32:CA32))),BW32:CA32)&gt;=0.8,"🟡 En riesgo","🔴 Crítico")),"⚪ Pendiente")</f>
        <v>⚪ Pendiente</v>
      </c>
    </row>
    <row r="33" spans="2:80" ht="37.5" customHeight="1" x14ac:dyDescent="0.35">
      <c r="B33" s="23" t="s">
        <v>93</v>
      </c>
      <c r="C33" s="24" t="s">
        <v>96</v>
      </c>
      <c r="D33" s="25" t="s">
        <v>194</v>
      </c>
      <c r="E33" s="25" t="s">
        <v>195</v>
      </c>
      <c r="F33" s="26" t="s">
        <v>139</v>
      </c>
      <c r="G33" s="45" t="s">
        <v>140</v>
      </c>
      <c r="H33" s="26" t="s">
        <v>83</v>
      </c>
      <c r="I33" s="28" t="str">
        <f>VLOOKUP("IND-23",Parámetros!$B$6:$F$30,5,FALSE())</f>
        <v>Por definir</v>
      </c>
      <c r="J33" s="29">
        <f>'IND-23'!C14</f>
        <v>0.4</v>
      </c>
      <c r="K33" s="29">
        <f>'IND-23'!C15</f>
        <v>0.4</v>
      </c>
      <c r="L33" s="29">
        <f>'IND-23'!C16</f>
        <v>0.4</v>
      </c>
      <c r="M33" s="29">
        <f>'IND-23'!C17</f>
        <v>0.4</v>
      </c>
      <c r="N33" s="29">
        <f>'IND-23'!C18</f>
        <v>0.4</v>
      </c>
      <c r="O33" s="43" t="str">
        <f>IFERROR(IF('IND-23'!G23="","",'IND-23'!G23),"")</f>
        <v/>
      </c>
      <c r="P33" s="43" t="str">
        <f>IFERROR(IF('IND-23'!G24="","",'IND-23'!G24),"")</f>
        <v/>
      </c>
      <c r="Q33" s="30" t="str">
        <f>IFERROR(IF('IND-23'!G25="","",'IND-23'!G25),"")</f>
        <v/>
      </c>
      <c r="R33" s="43" t="str">
        <f>IFERROR(IF('IND-23'!G26="","",'IND-23'!G26),"")</f>
        <v/>
      </c>
      <c r="S33" s="43" t="str">
        <f>IFERROR(IF('IND-23'!G27="","",'IND-23'!G27),"")</f>
        <v/>
      </c>
      <c r="T33" s="30" t="str">
        <f>IFERROR(IF('IND-23'!G28="","",'IND-23'!G28),"")</f>
        <v/>
      </c>
      <c r="U33" s="43" t="str">
        <f>IFERROR(IF('IND-23'!G29="","",'IND-23'!G29),"")</f>
        <v/>
      </c>
      <c r="V33" s="43" t="str">
        <f>IFERROR(IF('IND-23'!G30="","",'IND-23'!G30),"")</f>
        <v/>
      </c>
      <c r="W33" s="30" t="str">
        <f>IFERROR(IF('IND-23'!G31="","",'IND-23'!G31),"")</f>
        <v/>
      </c>
      <c r="X33" s="43" t="str">
        <f>IFERROR(IF('IND-23'!G32="","",'IND-23'!G32),"")</f>
        <v/>
      </c>
      <c r="Y33" s="43" t="str">
        <f>IFERROR(IF('IND-23'!G33="","",'IND-23'!G33),"")</f>
        <v/>
      </c>
      <c r="Z33" s="30" t="str">
        <f>IFERROR(IF('IND-23'!G34="","",'IND-23'!G34),"")</f>
        <v/>
      </c>
      <c r="AA33" s="43" t="str">
        <f>IFERROR(IF('IND-23'!G35="","",'IND-23'!G35),"")</f>
        <v/>
      </c>
      <c r="AB33" s="43" t="str">
        <f>IFERROR(IF('IND-23'!G36="","",'IND-23'!G36),"")</f>
        <v/>
      </c>
      <c r="AC33" s="30" t="str">
        <f>IFERROR(IF('IND-23'!G37="","",'IND-23'!G37),"")</f>
        <v/>
      </c>
      <c r="AD33" s="43" t="str">
        <f>IFERROR(IF('IND-23'!G38="","",'IND-23'!G38),"")</f>
        <v/>
      </c>
      <c r="AE33" s="43" t="str">
        <f>IFERROR(IF('IND-23'!G39="","",'IND-23'!G39),"")</f>
        <v/>
      </c>
      <c r="AF33" s="30" t="str">
        <f>IFERROR(IF('IND-23'!G40="","",'IND-23'!G40),"")</f>
        <v/>
      </c>
      <c r="AG33" s="43" t="str">
        <f>IFERROR(IF('IND-23'!G41="","",'IND-23'!G41),"")</f>
        <v/>
      </c>
      <c r="AH33" s="43" t="str">
        <f>IFERROR(IF('IND-23'!G42="","",'IND-23'!G42),"")</f>
        <v/>
      </c>
      <c r="AI33" s="30" t="str">
        <f>IFERROR(IF('IND-23'!G43="","",'IND-23'!G43),"")</f>
        <v/>
      </c>
      <c r="AJ33" s="43" t="str">
        <f>IFERROR(IF('IND-23'!G44="","",'IND-23'!G44),"")</f>
        <v/>
      </c>
      <c r="AK33" s="43" t="str">
        <f>IFERROR(IF('IND-23'!G45="","",'IND-23'!G45),"")</f>
        <v/>
      </c>
      <c r="AL33" s="30" t="str">
        <f>IFERROR(IF('IND-23'!G46="","",'IND-23'!G46),"")</f>
        <v/>
      </c>
      <c r="AM33" s="43" t="str">
        <f>IFERROR(IF('IND-23'!G47="","",'IND-23'!G47),"")</f>
        <v/>
      </c>
      <c r="AN33" s="43" t="str">
        <f>IFERROR(IF('IND-23'!G48="","",'IND-23'!G48),"")</f>
        <v/>
      </c>
      <c r="AO33" s="30" t="str">
        <f>IFERROR(IF('IND-23'!G49="","",'IND-23'!G49),"")</f>
        <v/>
      </c>
      <c r="AP33" s="43" t="str">
        <f>IFERROR(IF('IND-23'!G50="","",'IND-23'!G50),"")</f>
        <v/>
      </c>
      <c r="AQ33" s="43" t="str">
        <f>IFERROR(IF('IND-23'!G51="","",'IND-23'!G51),"")</f>
        <v/>
      </c>
      <c r="AR33" s="30" t="str">
        <f>IFERROR(IF('IND-23'!G52="","",'IND-23'!G52),"")</f>
        <v/>
      </c>
      <c r="AS33" s="43" t="str">
        <f>IFERROR(IF('IND-23'!G53="","",'IND-23'!G53),"")</f>
        <v/>
      </c>
      <c r="AT33" s="43" t="str">
        <f>IFERROR(IF('IND-23'!G54="","",'IND-23'!G54),"")</f>
        <v/>
      </c>
      <c r="AU33" s="30" t="str">
        <f>IFERROR(IF('IND-23'!G55="","",'IND-23'!G55),"")</f>
        <v/>
      </c>
      <c r="AV33" s="43" t="str">
        <f>IFERROR(IF('IND-23'!G56="","",'IND-23'!G56),"")</f>
        <v/>
      </c>
      <c r="AW33" s="43" t="str">
        <f>IFERROR(IF('IND-23'!G57="","",'IND-23'!G57),"")</f>
        <v/>
      </c>
      <c r="AX33" s="30" t="str">
        <f>IFERROR(IF('IND-23'!G58="","",'IND-23'!G58),"")</f>
        <v/>
      </c>
      <c r="AY33" s="43" t="str">
        <f>IFERROR(IF('IND-23'!G59="","",'IND-23'!G59),"")</f>
        <v/>
      </c>
      <c r="AZ33" s="43" t="str">
        <f>IFERROR(IF('IND-23'!G60="","",'IND-23'!G60),"")</f>
        <v/>
      </c>
      <c r="BA33" s="30" t="str">
        <f>IFERROR(IF('IND-23'!G61="","",'IND-23'!G61),"")</f>
        <v/>
      </c>
      <c r="BB33" s="43" t="str">
        <f>IFERROR(IF('IND-23'!G62="","",'IND-23'!G62),"")</f>
        <v/>
      </c>
      <c r="BC33" s="43" t="str">
        <f>IFERROR(IF('IND-23'!G63="","",'IND-23'!G63),"")</f>
        <v/>
      </c>
      <c r="BD33" s="30" t="str">
        <f>IFERROR(IF('IND-23'!G64="","",'IND-23'!G64),"")</f>
        <v/>
      </c>
      <c r="BE33" s="43" t="str">
        <f>IFERROR(IF('IND-23'!G65="","",'IND-23'!G65),"")</f>
        <v/>
      </c>
      <c r="BF33" s="43" t="str">
        <f>IFERROR(IF('IND-23'!G66="","",'IND-23'!G66),"")</f>
        <v/>
      </c>
      <c r="BG33" s="30" t="str">
        <f>IFERROR(IF('IND-23'!G67="","",'IND-23'!G67),"")</f>
        <v/>
      </c>
      <c r="BH33" s="43" t="str">
        <f>IFERROR(IF('IND-23'!G68="","",'IND-23'!G68),"")</f>
        <v/>
      </c>
      <c r="BI33" s="43" t="str">
        <f>IFERROR(IF('IND-23'!G69="","",'IND-23'!G69),"")</f>
        <v/>
      </c>
      <c r="BJ33" s="30" t="str">
        <f>IFERROR(IF('IND-23'!G70="","",'IND-23'!G70),"")</f>
        <v/>
      </c>
      <c r="BK33" s="43" t="str">
        <f>IFERROR(IF('IND-23'!G71="","",'IND-23'!G71),"")</f>
        <v/>
      </c>
      <c r="BL33" s="43" t="str">
        <f>IFERROR(IF('IND-23'!G72="","",'IND-23'!G72),"")</f>
        <v/>
      </c>
      <c r="BM33" s="30" t="str">
        <f>IFERROR(IF('IND-23'!G73="","",'IND-23'!G73),"")</f>
        <v/>
      </c>
      <c r="BN33" s="43" t="str">
        <f>IFERROR(IF('IND-23'!G74="","",'IND-23'!G74),"")</f>
        <v/>
      </c>
      <c r="BO33" s="43" t="str">
        <f>IFERROR(IF('IND-23'!G75="","",'IND-23'!G75),"")</f>
        <v/>
      </c>
      <c r="BP33" s="30" t="str">
        <f>IFERROR(IF('IND-23'!G76="","",'IND-23'!G76),"")</f>
        <v/>
      </c>
      <c r="BQ33" s="43" t="str">
        <f>IFERROR(IF('IND-23'!G77="","",'IND-23'!G77),"")</f>
        <v/>
      </c>
      <c r="BR33" s="43" t="str">
        <f>IFERROR(IF('IND-23'!G78="","",'IND-23'!G78),"")</f>
        <v/>
      </c>
      <c r="BS33" s="30" t="str">
        <f>IFERROR(IF('IND-23'!G79="","",'IND-23'!G79),"")</f>
        <v/>
      </c>
      <c r="BT33" s="43" t="str">
        <f>IFERROR(IF('IND-23'!G80="","",'IND-23'!G80),"")</f>
        <v/>
      </c>
      <c r="BU33" s="43" t="str">
        <f>IFERROR(IF('IND-23'!G81="","",'IND-23'!G81),"")</f>
        <v/>
      </c>
      <c r="BV33" s="30" t="str">
        <f>IFERROR(IF('IND-23'!G82="","",'IND-23'!G82),"")</f>
        <v/>
      </c>
      <c r="BW33" s="31" t="str">
        <f>IFERROR(AVERAGE('IND-23'!I23:I34),"")</f>
        <v/>
      </c>
      <c r="BX33" s="31" t="str">
        <f>IFERROR(AVERAGE('IND-23'!I35:I46),"")</f>
        <v/>
      </c>
      <c r="BY33" s="31" t="str">
        <f>IFERROR(AVERAGE('IND-23'!I47:I58),"")</f>
        <v/>
      </c>
      <c r="BZ33" s="31" t="str">
        <f>IFERROR(AVERAGE('IND-23'!I59:I70),"")</f>
        <v/>
      </c>
      <c r="CA33" s="31" t="str">
        <f>IFERROR(AVERAGE('IND-23'!I71:I82),"")</f>
        <v/>
      </c>
      <c r="CB33" s="32" t="str">
        <f>IFERROR(IF(LOOKUP(2,1/((BW33:CA33&lt;&gt;"")*(ISNUMBER(BW33:CA33))),BW33:CA33)&gt;=0.95,"🟢 Cumple",IF(LOOKUP(2,1/((BW33:CA33&lt;&gt;"")*(ISNUMBER(BW33:CA33))),BW33:CA33)&gt;=0.8,"🟡 En riesgo","🔴 Crítico")),"⚪ Pendiente")</f>
        <v>⚪ Pendiente</v>
      </c>
    </row>
    <row r="34" spans="2:80" ht="37.5" customHeight="1" x14ac:dyDescent="0.35">
      <c r="B34" s="23" t="s">
        <v>98</v>
      </c>
      <c r="C34" s="24" t="s">
        <v>99</v>
      </c>
      <c r="D34" s="25" t="s">
        <v>196</v>
      </c>
      <c r="E34" s="25" t="s">
        <v>197</v>
      </c>
      <c r="F34" s="26" t="s">
        <v>139</v>
      </c>
      <c r="G34" s="45" t="s">
        <v>140</v>
      </c>
      <c r="H34" s="26" t="s">
        <v>69</v>
      </c>
      <c r="I34" s="28" t="str">
        <f>VLOOKUP("IND-24",Parámetros!$B$6:$F$30,5,FALSE())</f>
        <v>Por definir</v>
      </c>
      <c r="J34" s="29">
        <f>'IND-24'!C14</f>
        <v>1</v>
      </c>
      <c r="K34" s="29">
        <f>'IND-24'!C15</f>
        <v>1</v>
      </c>
      <c r="L34" s="29">
        <f>'IND-24'!C16</f>
        <v>1</v>
      </c>
      <c r="M34" s="29">
        <f>'IND-24'!C17</f>
        <v>1</v>
      </c>
      <c r="N34" s="29">
        <f>'IND-24'!C18</f>
        <v>1</v>
      </c>
      <c r="O34" s="43" t="str">
        <f>IFERROR(IF('IND-24'!G23="","",'IND-24'!G23),"")</f>
        <v/>
      </c>
      <c r="P34" s="43" t="str">
        <f>IFERROR(IF('IND-24'!G24="","",'IND-24'!G24),"")</f>
        <v/>
      </c>
      <c r="Q34" s="43" t="str">
        <f>IFERROR(IF('IND-24'!G25="","",'IND-24'!G25),"")</f>
        <v/>
      </c>
      <c r="R34" s="43" t="str">
        <f>IFERROR(IF('IND-24'!G26="","",'IND-24'!G26),"")</f>
        <v/>
      </c>
      <c r="S34" s="43" t="str">
        <f>IFERROR(IF('IND-24'!G27="","",'IND-24'!G27),"")</f>
        <v/>
      </c>
      <c r="T34" s="30" t="str">
        <f>IFERROR(IF('IND-24'!G28="","",'IND-24'!G28),"")</f>
        <v/>
      </c>
      <c r="U34" s="43" t="str">
        <f>IFERROR(IF('IND-24'!G29="","",'IND-24'!G29),"")</f>
        <v/>
      </c>
      <c r="V34" s="43" t="str">
        <f>IFERROR(IF('IND-24'!G30="","",'IND-24'!G30),"")</f>
        <v/>
      </c>
      <c r="W34" s="43" t="str">
        <f>IFERROR(IF('IND-24'!G31="","",'IND-24'!G31),"")</f>
        <v/>
      </c>
      <c r="X34" s="43" t="str">
        <f>IFERROR(IF('IND-24'!G32="","",'IND-24'!G32),"")</f>
        <v/>
      </c>
      <c r="Y34" s="43" t="str">
        <f>IFERROR(IF('IND-24'!G33="","",'IND-24'!G33),"")</f>
        <v/>
      </c>
      <c r="Z34" s="30" t="str">
        <f>IFERROR(IF('IND-24'!G34="","",'IND-24'!G34),"")</f>
        <v/>
      </c>
      <c r="AA34" s="43" t="str">
        <f>IFERROR(IF('IND-24'!G35="","",'IND-24'!G35),"")</f>
        <v/>
      </c>
      <c r="AB34" s="43" t="str">
        <f>IFERROR(IF('IND-24'!G36="","",'IND-24'!G36),"")</f>
        <v/>
      </c>
      <c r="AC34" s="43" t="str">
        <f>IFERROR(IF('IND-24'!G37="","",'IND-24'!G37),"")</f>
        <v/>
      </c>
      <c r="AD34" s="43" t="str">
        <f>IFERROR(IF('IND-24'!G38="","",'IND-24'!G38),"")</f>
        <v/>
      </c>
      <c r="AE34" s="43" t="str">
        <f>IFERROR(IF('IND-24'!G39="","",'IND-24'!G39),"")</f>
        <v/>
      </c>
      <c r="AF34" s="30" t="str">
        <f>IFERROR(IF('IND-24'!G40="","",'IND-24'!G40),"")</f>
        <v/>
      </c>
      <c r="AG34" s="43" t="str">
        <f>IFERROR(IF('IND-24'!G41="","",'IND-24'!G41),"")</f>
        <v/>
      </c>
      <c r="AH34" s="43" t="str">
        <f>IFERROR(IF('IND-24'!G42="","",'IND-24'!G42),"")</f>
        <v/>
      </c>
      <c r="AI34" s="43" t="str">
        <f>IFERROR(IF('IND-24'!G43="","",'IND-24'!G43),"")</f>
        <v/>
      </c>
      <c r="AJ34" s="43" t="str">
        <f>IFERROR(IF('IND-24'!G44="","",'IND-24'!G44),"")</f>
        <v/>
      </c>
      <c r="AK34" s="43" t="str">
        <f>IFERROR(IF('IND-24'!G45="","",'IND-24'!G45),"")</f>
        <v/>
      </c>
      <c r="AL34" s="30" t="str">
        <f>IFERROR(IF('IND-24'!G46="","",'IND-24'!G46),"")</f>
        <v/>
      </c>
      <c r="AM34" s="43" t="str">
        <f>IFERROR(IF('IND-24'!G47="","",'IND-24'!G47),"")</f>
        <v/>
      </c>
      <c r="AN34" s="43" t="str">
        <f>IFERROR(IF('IND-24'!G48="","",'IND-24'!G48),"")</f>
        <v/>
      </c>
      <c r="AO34" s="43" t="str">
        <f>IFERROR(IF('IND-24'!G49="","",'IND-24'!G49),"")</f>
        <v/>
      </c>
      <c r="AP34" s="43" t="str">
        <f>IFERROR(IF('IND-24'!G50="","",'IND-24'!G50),"")</f>
        <v/>
      </c>
      <c r="AQ34" s="43" t="str">
        <f>IFERROR(IF('IND-24'!G51="","",'IND-24'!G51),"")</f>
        <v/>
      </c>
      <c r="AR34" s="30" t="str">
        <f>IFERROR(IF('IND-24'!G52="","",'IND-24'!G52),"")</f>
        <v/>
      </c>
      <c r="AS34" s="43" t="str">
        <f>IFERROR(IF('IND-24'!G53="","",'IND-24'!G53),"")</f>
        <v/>
      </c>
      <c r="AT34" s="43" t="str">
        <f>IFERROR(IF('IND-24'!G54="","",'IND-24'!G54),"")</f>
        <v/>
      </c>
      <c r="AU34" s="43" t="str">
        <f>IFERROR(IF('IND-24'!G55="","",'IND-24'!G55),"")</f>
        <v/>
      </c>
      <c r="AV34" s="43" t="str">
        <f>IFERROR(IF('IND-24'!G56="","",'IND-24'!G56),"")</f>
        <v/>
      </c>
      <c r="AW34" s="43" t="str">
        <f>IFERROR(IF('IND-24'!G57="","",'IND-24'!G57),"")</f>
        <v/>
      </c>
      <c r="AX34" s="30" t="str">
        <f>IFERROR(IF('IND-24'!G58="","",'IND-24'!G58),"")</f>
        <v/>
      </c>
      <c r="AY34" s="43" t="str">
        <f>IFERROR(IF('IND-24'!G59="","",'IND-24'!G59),"")</f>
        <v/>
      </c>
      <c r="AZ34" s="43" t="str">
        <f>IFERROR(IF('IND-24'!G60="","",'IND-24'!G60),"")</f>
        <v/>
      </c>
      <c r="BA34" s="43" t="str">
        <f>IFERROR(IF('IND-24'!G61="","",'IND-24'!G61),"")</f>
        <v/>
      </c>
      <c r="BB34" s="43" t="str">
        <f>IFERROR(IF('IND-24'!G62="","",'IND-24'!G62),"")</f>
        <v/>
      </c>
      <c r="BC34" s="43" t="str">
        <f>IFERROR(IF('IND-24'!G63="","",'IND-24'!G63),"")</f>
        <v/>
      </c>
      <c r="BD34" s="30" t="str">
        <f>IFERROR(IF('IND-24'!G64="","",'IND-24'!G64),"")</f>
        <v/>
      </c>
      <c r="BE34" s="43" t="str">
        <f>IFERROR(IF('IND-24'!G65="","",'IND-24'!G65),"")</f>
        <v/>
      </c>
      <c r="BF34" s="43" t="str">
        <f>IFERROR(IF('IND-24'!G66="","",'IND-24'!G66),"")</f>
        <v/>
      </c>
      <c r="BG34" s="43" t="str">
        <f>IFERROR(IF('IND-24'!G67="","",'IND-24'!G67),"")</f>
        <v/>
      </c>
      <c r="BH34" s="43" t="str">
        <f>IFERROR(IF('IND-24'!G68="","",'IND-24'!G68),"")</f>
        <v/>
      </c>
      <c r="BI34" s="43" t="str">
        <f>IFERROR(IF('IND-24'!G69="","",'IND-24'!G69),"")</f>
        <v/>
      </c>
      <c r="BJ34" s="30" t="str">
        <f>IFERROR(IF('IND-24'!G70="","",'IND-24'!G70),"")</f>
        <v/>
      </c>
      <c r="BK34" s="43" t="str">
        <f>IFERROR(IF('IND-24'!G71="","",'IND-24'!G71),"")</f>
        <v/>
      </c>
      <c r="BL34" s="43" t="str">
        <f>IFERROR(IF('IND-24'!G72="","",'IND-24'!G72),"")</f>
        <v/>
      </c>
      <c r="BM34" s="43" t="str">
        <f>IFERROR(IF('IND-24'!G73="","",'IND-24'!G73),"")</f>
        <v/>
      </c>
      <c r="BN34" s="43" t="str">
        <f>IFERROR(IF('IND-24'!G74="","",'IND-24'!G74),"")</f>
        <v/>
      </c>
      <c r="BO34" s="43" t="str">
        <f>IFERROR(IF('IND-24'!G75="","",'IND-24'!G75),"")</f>
        <v/>
      </c>
      <c r="BP34" s="30" t="str">
        <f>IFERROR(IF('IND-24'!G76="","",'IND-24'!G76),"")</f>
        <v/>
      </c>
      <c r="BQ34" s="43" t="str">
        <f>IFERROR(IF('IND-24'!G77="","",'IND-24'!G77),"")</f>
        <v/>
      </c>
      <c r="BR34" s="43" t="str">
        <f>IFERROR(IF('IND-24'!G78="","",'IND-24'!G78),"")</f>
        <v/>
      </c>
      <c r="BS34" s="43" t="str">
        <f>IFERROR(IF('IND-24'!G79="","",'IND-24'!G79),"")</f>
        <v/>
      </c>
      <c r="BT34" s="43" t="str">
        <f>IFERROR(IF('IND-24'!G80="","",'IND-24'!G80),"")</f>
        <v/>
      </c>
      <c r="BU34" s="43" t="str">
        <f>IFERROR(IF('IND-24'!G81="","",'IND-24'!G81),"")</f>
        <v/>
      </c>
      <c r="BV34" s="30" t="str">
        <f>IFERROR(IF('IND-24'!G82="","",'IND-24'!G82),"")</f>
        <v/>
      </c>
      <c r="BW34" s="31" t="str">
        <f>IFERROR(AVERAGE('IND-24'!I23:I34),"")</f>
        <v/>
      </c>
      <c r="BX34" s="31" t="str">
        <f>IFERROR(AVERAGE('IND-24'!I35:I46),"")</f>
        <v/>
      </c>
      <c r="BY34" s="31" t="str">
        <f>IFERROR(AVERAGE('IND-24'!I47:I58),"")</f>
        <v/>
      </c>
      <c r="BZ34" s="31" t="str">
        <f>IFERROR(AVERAGE('IND-24'!I59:I70),"")</f>
        <v/>
      </c>
      <c r="CA34" s="31" t="str">
        <f>IFERROR(AVERAGE('IND-24'!I71:I82),"")</f>
        <v/>
      </c>
      <c r="CB34" s="32" t="str">
        <f>IFERROR(IF(LOOKUP(2,1/((BW34:CA34&lt;&gt;"")*(ISNUMBER(BW34:CA34))),BW34:CA34)&gt;=0.95,"🟢 Cumple",IF(LOOKUP(2,1/((BW34:CA34&lt;&gt;"")*(ISNUMBER(BW34:CA34))),BW34:CA34)&gt;=0.8,"🟡 En riesgo","🔴 Crítico")),"⚪ Pendiente")</f>
        <v>⚪ Pendiente</v>
      </c>
    </row>
    <row r="35" spans="2:80" ht="37.5" customHeight="1" x14ac:dyDescent="0.35">
      <c r="B35" s="23" t="s">
        <v>98</v>
      </c>
      <c r="C35" s="24" t="s">
        <v>101</v>
      </c>
      <c r="D35" s="25" t="s">
        <v>198</v>
      </c>
      <c r="E35" s="25" t="s">
        <v>199</v>
      </c>
      <c r="F35" s="26" t="s">
        <v>178</v>
      </c>
      <c r="G35" s="45" t="s">
        <v>160</v>
      </c>
      <c r="H35" s="26" t="s">
        <v>73</v>
      </c>
      <c r="I35" s="28" t="str">
        <f>VLOOKUP("IND-25",Parámetros!$B$6:$F$30,5,FALSE())</f>
        <v>Por definir</v>
      </c>
      <c r="J35" s="29">
        <f>'IND-25'!C14</f>
        <v>1</v>
      </c>
      <c r="K35" s="29">
        <f>'IND-25'!C15</f>
        <v>1</v>
      </c>
      <c r="L35" s="29">
        <f>'IND-25'!C16</f>
        <v>1</v>
      </c>
      <c r="M35" s="29">
        <f>'IND-25'!C17</f>
        <v>1</v>
      </c>
      <c r="N35" s="29">
        <f>'IND-25'!C18</f>
        <v>1</v>
      </c>
      <c r="O35" s="43" t="str">
        <f>IFERROR(IF('IND-25'!F23="","",'IND-25'!F23),"")</f>
        <v/>
      </c>
      <c r="P35" s="43" t="str">
        <f>IFERROR(IF('IND-25'!F24="","",'IND-25'!F24),"")</f>
        <v/>
      </c>
      <c r="Q35" s="43" t="str">
        <f>IFERROR(IF('IND-25'!F25="","",'IND-25'!F25),"")</f>
        <v/>
      </c>
      <c r="R35" s="43" t="str">
        <f>IFERROR(IF('IND-25'!F26="","",'IND-25'!F26),"")</f>
        <v/>
      </c>
      <c r="S35" s="43" t="str">
        <f>IFERROR(IF('IND-25'!F27="","",'IND-25'!F27),"")</f>
        <v/>
      </c>
      <c r="T35" s="43" t="str">
        <f>IFERROR(IF('IND-25'!F28="","",'IND-25'!F28),"")</f>
        <v/>
      </c>
      <c r="U35" s="43" t="str">
        <f>IFERROR(IF('IND-25'!F29="","",'IND-25'!F29),"")</f>
        <v/>
      </c>
      <c r="V35" s="43" t="str">
        <f>IFERROR(IF('IND-25'!F30="","",'IND-25'!F30),"")</f>
        <v/>
      </c>
      <c r="W35" s="43" t="str">
        <f>IFERROR(IF('IND-25'!F31="","",'IND-25'!F31),"")</f>
        <v/>
      </c>
      <c r="X35" s="43" t="str">
        <f>IFERROR(IF('IND-25'!F32="","",'IND-25'!F32),"")</f>
        <v/>
      </c>
      <c r="Y35" s="43" t="str">
        <f>IFERROR(IF('IND-25'!F33="","",'IND-25'!F33),"")</f>
        <v/>
      </c>
      <c r="Z35" s="30">
        <f>IFERROR(IF('IND-25'!F34="","",'IND-25'!F34),"")</f>
        <v>0.83</v>
      </c>
      <c r="AA35" s="43" t="str">
        <f>IFERROR(IF('IND-25'!F35="","",'IND-25'!F35),"")</f>
        <v/>
      </c>
      <c r="AB35" s="43" t="str">
        <f>IFERROR(IF('IND-25'!F36="","",'IND-25'!F36),"")</f>
        <v/>
      </c>
      <c r="AC35" s="43" t="str">
        <f>IFERROR(IF('IND-25'!F37="","",'IND-25'!F37),"")</f>
        <v/>
      </c>
      <c r="AD35" s="43" t="str">
        <f>IFERROR(IF('IND-25'!F38="","",'IND-25'!F38),"")</f>
        <v/>
      </c>
      <c r="AE35" s="43" t="str">
        <f>IFERROR(IF('IND-25'!F39="","",'IND-25'!F39),"")</f>
        <v/>
      </c>
      <c r="AF35" s="43" t="str">
        <f>IFERROR(IF('IND-25'!F40="","",'IND-25'!F40),"")</f>
        <v/>
      </c>
      <c r="AG35" s="43" t="str">
        <f>IFERROR(IF('IND-25'!F41="","",'IND-25'!F41),"")</f>
        <v/>
      </c>
      <c r="AH35" s="43" t="str">
        <f>IFERROR(IF('IND-25'!F42="","",'IND-25'!F42),"")</f>
        <v/>
      </c>
      <c r="AI35" s="43" t="str">
        <f>IFERROR(IF('IND-25'!F43="","",'IND-25'!F43),"")</f>
        <v/>
      </c>
      <c r="AJ35" s="43" t="str">
        <f>IFERROR(IF('IND-25'!F44="","",'IND-25'!F44),"")</f>
        <v/>
      </c>
      <c r="AK35" s="43" t="str">
        <f>IFERROR(IF('IND-25'!F45="","",'IND-25'!F45),"")</f>
        <v/>
      </c>
      <c r="AL35" s="30" t="str">
        <f>IFERROR(IF('IND-25'!F46="","",'IND-25'!F46),"")</f>
        <v/>
      </c>
      <c r="AM35" s="43" t="str">
        <f>IFERROR(IF('IND-25'!F47="","",'IND-25'!F47),"")</f>
        <v/>
      </c>
      <c r="AN35" s="43" t="str">
        <f>IFERROR(IF('IND-25'!F48="","",'IND-25'!F48),"")</f>
        <v/>
      </c>
      <c r="AO35" s="43" t="str">
        <f>IFERROR(IF('IND-25'!F49="","",'IND-25'!F49),"")</f>
        <v/>
      </c>
      <c r="AP35" s="43" t="str">
        <f>IFERROR(IF('IND-25'!F50="","",'IND-25'!F50),"")</f>
        <v/>
      </c>
      <c r="AQ35" s="43" t="str">
        <f>IFERROR(IF('IND-25'!F51="","",'IND-25'!F51),"")</f>
        <v/>
      </c>
      <c r="AR35" s="43" t="str">
        <f>IFERROR(IF('IND-25'!F52="","",'IND-25'!F52),"")</f>
        <v/>
      </c>
      <c r="AS35" s="43" t="str">
        <f>IFERROR(IF('IND-25'!F53="","",'IND-25'!F53),"")</f>
        <v/>
      </c>
      <c r="AT35" s="43" t="str">
        <f>IFERROR(IF('IND-25'!F54="","",'IND-25'!F54),"")</f>
        <v/>
      </c>
      <c r="AU35" s="43" t="str">
        <f>IFERROR(IF('IND-25'!F55="","",'IND-25'!F55),"")</f>
        <v/>
      </c>
      <c r="AV35" s="43" t="str">
        <f>IFERROR(IF('IND-25'!F56="","",'IND-25'!F56),"")</f>
        <v/>
      </c>
      <c r="AW35" s="43" t="str">
        <f>IFERROR(IF('IND-25'!F57="","",'IND-25'!F57),"")</f>
        <v/>
      </c>
      <c r="AX35" s="30" t="str">
        <f>IFERROR(IF('IND-25'!F58="","",'IND-25'!F58),"")</f>
        <v/>
      </c>
      <c r="AY35" s="43" t="str">
        <f>IFERROR(IF('IND-25'!F59="","",'IND-25'!F59),"")</f>
        <v/>
      </c>
      <c r="AZ35" s="43" t="str">
        <f>IFERROR(IF('IND-25'!F60="","",'IND-25'!F60),"")</f>
        <v/>
      </c>
      <c r="BA35" s="43" t="str">
        <f>IFERROR(IF('IND-25'!F61="","",'IND-25'!F61),"")</f>
        <v/>
      </c>
      <c r="BB35" s="43" t="str">
        <f>IFERROR(IF('IND-25'!F62="","",'IND-25'!F62),"")</f>
        <v/>
      </c>
      <c r="BC35" s="43" t="str">
        <f>IFERROR(IF('IND-25'!F63="","",'IND-25'!F63),"")</f>
        <v/>
      </c>
      <c r="BD35" s="43" t="str">
        <f>IFERROR(IF('IND-25'!F64="","",'IND-25'!F64),"")</f>
        <v/>
      </c>
      <c r="BE35" s="43" t="str">
        <f>IFERROR(IF('IND-25'!F65="","",'IND-25'!F65),"")</f>
        <v/>
      </c>
      <c r="BF35" s="43" t="str">
        <f>IFERROR(IF('IND-25'!F66="","",'IND-25'!F66),"")</f>
        <v/>
      </c>
      <c r="BG35" s="43" t="str">
        <f>IFERROR(IF('IND-25'!F67="","",'IND-25'!F67),"")</f>
        <v/>
      </c>
      <c r="BH35" s="43" t="str">
        <f>IFERROR(IF('IND-25'!F68="","",'IND-25'!F68),"")</f>
        <v/>
      </c>
      <c r="BI35" s="43" t="str">
        <f>IFERROR(IF('IND-25'!F69="","",'IND-25'!F69),"")</f>
        <v/>
      </c>
      <c r="BJ35" s="30" t="str">
        <f>IFERROR(IF('IND-25'!F70="","",'IND-25'!F70),"")</f>
        <v/>
      </c>
      <c r="BK35" s="43" t="str">
        <f>IFERROR(IF('IND-25'!F71="","",'IND-25'!F71),"")</f>
        <v/>
      </c>
      <c r="BL35" s="43" t="str">
        <f>IFERROR(IF('IND-25'!F72="","",'IND-25'!F72),"")</f>
        <v/>
      </c>
      <c r="BM35" s="43" t="str">
        <f>IFERROR(IF('IND-25'!F73="","",'IND-25'!F73),"")</f>
        <v/>
      </c>
      <c r="BN35" s="43" t="str">
        <f>IFERROR(IF('IND-25'!F74="","",'IND-25'!F74),"")</f>
        <v/>
      </c>
      <c r="BO35" s="43" t="str">
        <f>IFERROR(IF('IND-25'!F75="","",'IND-25'!F75),"")</f>
        <v/>
      </c>
      <c r="BP35" s="43" t="str">
        <f>IFERROR(IF('IND-25'!F76="","",'IND-25'!F76),"")</f>
        <v/>
      </c>
      <c r="BQ35" s="43" t="str">
        <f>IFERROR(IF('IND-25'!F77="","",'IND-25'!F77),"")</f>
        <v/>
      </c>
      <c r="BR35" s="43" t="str">
        <f>IFERROR(IF('IND-25'!F78="","",'IND-25'!F78),"")</f>
        <v/>
      </c>
      <c r="BS35" s="43" t="str">
        <f>IFERROR(IF('IND-25'!F79="","",'IND-25'!F79),"")</f>
        <v/>
      </c>
      <c r="BT35" s="43" t="str">
        <f>IFERROR(IF('IND-25'!F80="","",'IND-25'!F80),"")</f>
        <v/>
      </c>
      <c r="BU35" s="43" t="str">
        <f>IFERROR(IF('IND-25'!F81="","",'IND-25'!F81),"")</f>
        <v/>
      </c>
      <c r="BV35" s="30" t="str">
        <f>IFERROR(IF('IND-25'!F82="","",'IND-25'!F82),"")</f>
        <v/>
      </c>
      <c r="BW35" s="31">
        <f>IFERROR(AVERAGE('IND-25'!H23:H34),"")</f>
        <v>0.83</v>
      </c>
      <c r="BX35" s="31" t="str">
        <f>IFERROR(AVERAGE('IND-25'!H35:H46),"")</f>
        <v/>
      </c>
      <c r="BY35" s="31" t="str">
        <f>IFERROR(AVERAGE('IND-25'!H47:H58),"")</f>
        <v/>
      </c>
      <c r="BZ35" s="31" t="str">
        <f>IFERROR(AVERAGE('IND-25'!H59:H70),"")</f>
        <v/>
      </c>
      <c r="CA35" s="31" t="str">
        <f>IFERROR(AVERAGE('IND-25'!H71:H82),"")</f>
        <v/>
      </c>
      <c r="CB35" s="32" t="str">
        <f>IFERROR(IF(LOOKUP(2,1/((BW35:CA35&lt;&gt;"")*(ISNUMBER(BW35:CA35))),BW35:CA35)&gt;=0.95,"🟢 Cumple",IF(LOOKUP(2,1/((BW35:CA35&lt;&gt;"")*(ISNUMBER(BW35:CA35))),BW35:CA35)&gt;=0.8,"🟡 En riesgo","🔴 Crítico")),"⚪ Pendiente")</f>
        <v>🟡 En riesgo</v>
      </c>
    </row>
  </sheetData>
  <mergeCells count="14">
    <mergeCell ref="B31:CB31"/>
    <mergeCell ref="BK5:BV5"/>
    <mergeCell ref="B28:CB28"/>
    <mergeCell ref="AY5:BJ5"/>
    <mergeCell ref="B3:CB3"/>
    <mergeCell ref="AA5:AL5"/>
    <mergeCell ref="B5:I5"/>
    <mergeCell ref="AM5:AX5"/>
    <mergeCell ref="B21:CB21"/>
    <mergeCell ref="B7:CB7"/>
    <mergeCell ref="BW5:CA5"/>
    <mergeCell ref="O5:Z5"/>
    <mergeCell ref="B2:CB2"/>
    <mergeCell ref="J5:N5"/>
  </mergeCells>
  <conditionalFormatting sqref="BW7:CA35">
    <cfRule type="expression" dxfId="181" priority="2">
      <formula>AND(ISNUMBER(BW7),BW7&gt;=0.95)</formula>
    </cfRule>
    <cfRule type="expression" dxfId="180" priority="3">
      <formula>AND(ISNUMBER(BW7),BW7&gt;=0.8,BW7&lt;0.95)</formula>
    </cfRule>
    <cfRule type="expression" dxfId="179" priority="4">
      <formula>AND(ISNUMBER(BW7),BW7&lt;0.8)</formula>
    </cfRule>
  </conditionalFormatting>
  <conditionalFormatting sqref="CB7:CB35">
    <cfRule type="expression" dxfId="178" priority="17">
      <formula>ISNUMBER(SEARCH("Cumple",CB7))</formula>
    </cfRule>
    <cfRule type="expression" dxfId="177" priority="18">
      <formula>ISNUMBER(SEARCH("En riesgo",CB7))</formula>
    </cfRule>
    <cfRule type="expression" dxfId="176" priority="19">
      <formula>ISNUMBER(SEARCH("Crítico",CB7))</formula>
    </cfRule>
    <cfRule type="expression" dxfId="175" priority="20">
      <formula>ISNUMBER(SEARCH("Pendiente",CB7))</formula>
    </cfRule>
  </conditionalFormatting>
  <hyperlinks>
    <hyperlink ref="C8" r:id="rId1" location="'IND-01'!A1" xr:uid="{00000000-0004-0000-0100-000000000000}"/>
    <hyperlink ref="C9" r:id="rId2" location="'IND-02'!A1" xr:uid="{00000000-0004-0000-0100-000001000000}"/>
    <hyperlink ref="C10" r:id="rId3" location="'IND-03'!A1" xr:uid="{00000000-0004-0000-0100-000002000000}"/>
    <hyperlink ref="C11" r:id="rId4" location="'IND-04'!A1" xr:uid="{00000000-0004-0000-0100-000003000000}"/>
    <hyperlink ref="C12" r:id="rId5" location="'IND-05'!A1" xr:uid="{00000000-0004-0000-0100-000004000000}"/>
    <hyperlink ref="C13" r:id="rId6" location="'IND-06'!A1" xr:uid="{00000000-0004-0000-0100-000005000000}"/>
    <hyperlink ref="C14" r:id="rId7" location="'IND-07'!A1" xr:uid="{00000000-0004-0000-0100-000006000000}"/>
    <hyperlink ref="C15" r:id="rId8" location="'IND-08'!A1" xr:uid="{00000000-0004-0000-0100-000007000000}"/>
    <hyperlink ref="C16" r:id="rId9" location="'IND-09'!A1" xr:uid="{00000000-0004-0000-0100-000008000000}"/>
    <hyperlink ref="C17" r:id="rId10" location="'IND-10'!A1" xr:uid="{00000000-0004-0000-0100-000009000000}"/>
    <hyperlink ref="C18" r:id="rId11" location="'IND-11'!A1" xr:uid="{00000000-0004-0000-0100-00000A000000}"/>
    <hyperlink ref="C19" r:id="rId12" location="'IND-12'!A1" xr:uid="{00000000-0004-0000-0100-00000B000000}"/>
    <hyperlink ref="C20" r:id="rId13" location="'IND-13'!A1" xr:uid="{00000000-0004-0000-0100-00000C000000}"/>
    <hyperlink ref="C22" r:id="rId14" location="'IND-14'!A1" xr:uid="{00000000-0004-0000-0100-00000D000000}"/>
    <hyperlink ref="C23" r:id="rId15" location="'IND-15'!A1" xr:uid="{00000000-0004-0000-0100-00000E000000}"/>
    <hyperlink ref="C24" r:id="rId16" location="'IND-16'!A1" xr:uid="{00000000-0004-0000-0100-00000F000000}"/>
    <hyperlink ref="C25" r:id="rId17" location="'IND-17'!A1" xr:uid="{00000000-0004-0000-0100-000010000000}"/>
    <hyperlink ref="C26" r:id="rId18" location="'IND-18'!A1" xr:uid="{00000000-0004-0000-0100-000011000000}"/>
    <hyperlink ref="C27" r:id="rId19" location="'IND-19'!A1" xr:uid="{00000000-0004-0000-0100-000012000000}"/>
    <hyperlink ref="C29" r:id="rId20" location="'IND-20'!A1" xr:uid="{00000000-0004-0000-0100-000013000000}"/>
    <hyperlink ref="C30" r:id="rId21" location="'IND-21'!A1" xr:uid="{00000000-0004-0000-0100-000014000000}"/>
    <hyperlink ref="C32" r:id="rId22" location="'IND-22'!A1" xr:uid="{00000000-0004-0000-0100-000015000000}"/>
    <hyperlink ref="C33" r:id="rId23" location="'IND-23'!A1" xr:uid="{00000000-0004-0000-0100-000016000000}"/>
    <hyperlink ref="C34" r:id="rId24" location="'IND-24'!A1" xr:uid="{00000000-0004-0000-0100-000017000000}"/>
    <hyperlink ref="C35" r:id="rId25" location="'IND-25'!A1" xr:uid="{00000000-0004-0000-0100-00001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1A2E"/>
  </sheetPr>
  <dimension ref="B2:F93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328125" defaultRowHeight="14.5" x14ac:dyDescent="0.35"/>
  <cols>
    <col min="1" max="1" width="2.453125" customWidth="1"/>
    <col min="2" max="2" width="26" customWidth="1"/>
    <col min="3" max="3" width="22" customWidth="1"/>
    <col min="4" max="4" width="30" customWidth="1"/>
    <col min="5" max="5" width="22" customWidth="1"/>
    <col min="6" max="6" width="18" customWidth="1"/>
    <col min="7" max="7" width="3" customWidth="1"/>
  </cols>
  <sheetData>
    <row r="2" spans="2:6" ht="25.5" customHeight="1" x14ac:dyDescent="0.35">
      <c r="B2" s="86" t="s">
        <v>200</v>
      </c>
      <c r="C2" s="72"/>
      <c r="D2" s="72"/>
      <c r="E2" s="72"/>
      <c r="F2" s="72"/>
    </row>
    <row r="4" spans="2:6" ht="19.5" customHeight="1" x14ac:dyDescent="0.35">
      <c r="B4" s="87" t="s">
        <v>201</v>
      </c>
      <c r="C4" s="72"/>
      <c r="D4" s="72"/>
      <c r="E4" s="72"/>
      <c r="F4" s="72"/>
    </row>
    <row r="5" spans="2:6" ht="21.75" customHeight="1" x14ac:dyDescent="0.35">
      <c r="B5" s="12" t="s">
        <v>29</v>
      </c>
      <c r="C5" s="12" t="s">
        <v>30</v>
      </c>
      <c r="D5" s="12" t="s">
        <v>31</v>
      </c>
      <c r="E5" s="12" t="s">
        <v>32</v>
      </c>
      <c r="F5" s="12" t="s">
        <v>117</v>
      </c>
    </row>
    <row r="6" spans="2:6" ht="27.75" customHeight="1" x14ac:dyDescent="0.35">
      <c r="B6" s="46" t="s">
        <v>34</v>
      </c>
      <c r="C6" s="14" t="s">
        <v>35</v>
      </c>
      <c r="D6" s="15" t="s">
        <v>36</v>
      </c>
      <c r="E6" s="47" t="s">
        <v>37</v>
      </c>
      <c r="F6" s="48" t="s">
        <v>202</v>
      </c>
    </row>
    <row r="7" spans="2:6" ht="27.75" customHeight="1" x14ac:dyDescent="0.35">
      <c r="B7" s="46" t="s">
        <v>39</v>
      </c>
      <c r="C7" s="14" t="s">
        <v>35</v>
      </c>
      <c r="D7" s="15" t="s">
        <v>36</v>
      </c>
      <c r="E7" s="47" t="s">
        <v>40</v>
      </c>
      <c r="F7" s="48" t="s">
        <v>202</v>
      </c>
    </row>
    <row r="8" spans="2:6" ht="27.75" customHeight="1" x14ac:dyDescent="0.35">
      <c r="B8" s="46" t="s">
        <v>41</v>
      </c>
      <c r="C8" s="14" t="s">
        <v>35</v>
      </c>
      <c r="D8" s="15" t="s">
        <v>36</v>
      </c>
      <c r="E8" s="47" t="s">
        <v>42</v>
      </c>
      <c r="F8" s="48" t="s">
        <v>203</v>
      </c>
    </row>
    <row r="9" spans="2:6" ht="27.75" customHeight="1" x14ac:dyDescent="0.35">
      <c r="B9" s="46" t="s">
        <v>43</v>
      </c>
      <c r="C9" s="14" t="s">
        <v>35</v>
      </c>
      <c r="D9" s="15" t="s">
        <v>36</v>
      </c>
      <c r="E9" s="47" t="s">
        <v>44</v>
      </c>
      <c r="F9" s="48" t="s">
        <v>204</v>
      </c>
    </row>
    <row r="10" spans="2:6" ht="27.75" customHeight="1" x14ac:dyDescent="0.35">
      <c r="B10" s="46" t="s">
        <v>45</v>
      </c>
      <c r="C10" s="14" t="s">
        <v>35</v>
      </c>
      <c r="D10" s="15" t="s">
        <v>46</v>
      </c>
      <c r="E10" s="47" t="s">
        <v>47</v>
      </c>
      <c r="F10" s="48" t="s">
        <v>203</v>
      </c>
    </row>
    <row r="11" spans="2:6" ht="27.75" customHeight="1" x14ac:dyDescent="0.35">
      <c r="B11" s="46" t="s">
        <v>48</v>
      </c>
      <c r="C11" s="14" t="s">
        <v>35</v>
      </c>
      <c r="D11" s="15" t="s">
        <v>46</v>
      </c>
      <c r="E11" s="47" t="s">
        <v>49</v>
      </c>
      <c r="F11" s="48" t="s">
        <v>205</v>
      </c>
    </row>
    <row r="12" spans="2:6" ht="27.75" customHeight="1" x14ac:dyDescent="0.35">
      <c r="B12" s="46" t="s">
        <v>50</v>
      </c>
      <c r="C12" s="14" t="s">
        <v>35</v>
      </c>
      <c r="D12" s="15" t="s">
        <v>46</v>
      </c>
      <c r="E12" s="47" t="s">
        <v>51</v>
      </c>
      <c r="F12" s="48" t="s">
        <v>205</v>
      </c>
    </row>
    <row r="13" spans="2:6" ht="27.75" customHeight="1" x14ac:dyDescent="0.35">
      <c r="B13" s="46" t="s">
        <v>52</v>
      </c>
      <c r="C13" s="14" t="s">
        <v>35</v>
      </c>
      <c r="D13" s="15" t="s">
        <v>53</v>
      </c>
      <c r="E13" s="47" t="s">
        <v>54</v>
      </c>
      <c r="F13" s="48" t="s">
        <v>205</v>
      </c>
    </row>
    <row r="14" spans="2:6" ht="27.75" customHeight="1" x14ac:dyDescent="0.35">
      <c r="B14" s="46" t="s">
        <v>55</v>
      </c>
      <c r="C14" s="14" t="s">
        <v>35</v>
      </c>
      <c r="D14" s="15" t="s">
        <v>53</v>
      </c>
      <c r="E14" s="47" t="s">
        <v>56</v>
      </c>
      <c r="F14" s="48" t="s">
        <v>205</v>
      </c>
    </row>
    <row r="15" spans="2:6" ht="27.75" customHeight="1" x14ac:dyDescent="0.35">
      <c r="B15" s="46" t="s">
        <v>57</v>
      </c>
      <c r="C15" s="14" t="s">
        <v>35</v>
      </c>
      <c r="D15" s="15" t="s">
        <v>58</v>
      </c>
      <c r="E15" s="47" t="s">
        <v>59</v>
      </c>
      <c r="F15" s="48" t="s">
        <v>205</v>
      </c>
    </row>
    <row r="16" spans="2:6" ht="27.75" customHeight="1" x14ac:dyDescent="0.35">
      <c r="B16" s="46" t="s">
        <v>60</v>
      </c>
      <c r="C16" s="14" t="s">
        <v>35</v>
      </c>
      <c r="D16" s="15" t="s">
        <v>58</v>
      </c>
      <c r="E16" s="47" t="s">
        <v>61</v>
      </c>
      <c r="F16" s="48" t="s">
        <v>205</v>
      </c>
    </row>
    <row r="17" spans="2:6" ht="27.75" customHeight="1" x14ac:dyDescent="0.35">
      <c r="B17" s="46" t="s">
        <v>62</v>
      </c>
      <c r="C17" s="14" t="s">
        <v>35</v>
      </c>
      <c r="D17" s="15" t="s">
        <v>58</v>
      </c>
      <c r="E17" s="47" t="s">
        <v>63</v>
      </c>
      <c r="F17" s="48" t="s">
        <v>205</v>
      </c>
    </row>
    <row r="18" spans="2:6" ht="27.75" customHeight="1" x14ac:dyDescent="0.35">
      <c r="B18" s="46" t="s">
        <v>64</v>
      </c>
      <c r="C18" s="14" t="s">
        <v>35</v>
      </c>
      <c r="D18" s="15" t="s">
        <v>58</v>
      </c>
      <c r="E18" s="47" t="s">
        <v>65</v>
      </c>
      <c r="F18" s="48" t="s">
        <v>205</v>
      </c>
    </row>
    <row r="19" spans="2:6" ht="27.75" customHeight="1" x14ac:dyDescent="0.35">
      <c r="B19" s="46" t="s">
        <v>66</v>
      </c>
      <c r="C19" s="17" t="s">
        <v>67</v>
      </c>
      <c r="D19" s="15" t="s">
        <v>68</v>
      </c>
      <c r="E19" s="47" t="s">
        <v>68</v>
      </c>
      <c r="F19" s="48" t="s">
        <v>205</v>
      </c>
    </row>
    <row r="20" spans="2:6" ht="27.75" customHeight="1" x14ac:dyDescent="0.35">
      <c r="B20" s="46" t="s">
        <v>70</v>
      </c>
      <c r="C20" s="17" t="s">
        <v>67</v>
      </c>
      <c r="D20" s="15" t="s">
        <v>71</v>
      </c>
      <c r="E20" s="47" t="s">
        <v>72</v>
      </c>
      <c r="F20" s="48" t="s">
        <v>205</v>
      </c>
    </row>
    <row r="21" spans="2:6" ht="27.75" customHeight="1" x14ac:dyDescent="0.35">
      <c r="B21" s="46" t="s">
        <v>74</v>
      </c>
      <c r="C21" s="17" t="s">
        <v>67</v>
      </c>
      <c r="D21" s="15" t="s">
        <v>71</v>
      </c>
      <c r="E21" s="47" t="s">
        <v>75</v>
      </c>
      <c r="F21" s="48" t="s">
        <v>205</v>
      </c>
    </row>
    <row r="22" spans="2:6" ht="27.75" customHeight="1" x14ac:dyDescent="0.35">
      <c r="B22" s="46" t="s">
        <v>76</v>
      </c>
      <c r="C22" s="17" t="s">
        <v>67</v>
      </c>
      <c r="D22" s="15" t="s">
        <v>71</v>
      </c>
      <c r="E22" s="47" t="s">
        <v>77</v>
      </c>
      <c r="F22" s="48" t="s">
        <v>205</v>
      </c>
    </row>
    <row r="23" spans="2:6" ht="27.75" customHeight="1" x14ac:dyDescent="0.35">
      <c r="B23" s="46" t="s">
        <v>78</v>
      </c>
      <c r="C23" s="17" t="s">
        <v>67</v>
      </c>
      <c r="D23" s="15" t="s">
        <v>79</v>
      </c>
      <c r="E23" s="47" t="s">
        <v>80</v>
      </c>
      <c r="F23" s="48" t="s">
        <v>205</v>
      </c>
    </row>
    <row r="24" spans="2:6" ht="27.75" customHeight="1" x14ac:dyDescent="0.35">
      <c r="B24" s="46" t="s">
        <v>81</v>
      </c>
      <c r="C24" s="17" t="s">
        <v>67</v>
      </c>
      <c r="D24" s="15" t="s">
        <v>79</v>
      </c>
      <c r="E24" s="47" t="s">
        <v>82</v>
      </c>
      <c r="F24" s="48" t="s">
        <v>205</v>
      </c>
    </row>
    <row r="25" spans="2:6" ht="27.75" customHeight="1" x14ac:dyDescent="0.35">
      <c r="B25" s="46" t="s">
        <v>84</v>
      </c>
      <c r="C25" s="18" t="s">
        <v>85</v>
      </c>
      <c r="D25" s="15" t="s">
        <v>86</v>
      </c>
      <c r="E25" s="47" t="s">
        <v>87</v>
      </c>
      <c r="F25" s="48" t="s">
        <v>206</v>
      </c>
    </row>
    <row r="26" spans="2:6" ht="27.75" customHeight="1" x14ac:dyDescent="0.35">
      <c r="B26" s="46" t="s">
        <v>88</v>
      </c>
      <c r="C26" s="18" t="s">
        <v>85</v>
      </c>
      <c r="D26" s="15" t="s">
        <v>89</v>
      </c>
      <c r="E26" s="47" t="s">
        <v>90</v>
      </c>
      <c r="F26" s="48" t="s">
        <v>205</v>
      </c>
    </row>
    <row r="27" spans="2:6" ht="27.75" customHeight="1" x14ac:dyDescent="0.35">
      <c r="B27" s="46" t="s">
        <v>91</v>
      </c>
      <c r="C27" s="19" t="s">
        <v>92</v>
      </c>
      <c r="D27" s="15" t="s">
        <v>93</v>
      </c>
      <c r="E27" s="47" t="s">
        <v>94</v>
      </c>
      <c r="F27" s="48" t="s">
        <v>205</v>
      </c>
    </row>
    <row r="28" spans="2:6" ht="27.75" customHeight="1" x14ac:dyDescent="0.35">
      <c r="B28" s="46" t="s">
        <v>95</v>
      </c>
      <c r="C28" s="19" t="s">
        <v>92</v>
      </c>
      <c r="D28" s="15" t="s">
        <v>93</v>
      </c>
      <c r="E28" s="47" t="s">
        <v>96</v>
      </c>
      <c r="F28" s="48" t="s">
        <v>205</v>
      </c>
    </row>
    <row r="29" spans="2:6" ht="27.75" customHeight="1" x14ac:dyDescent="0.35">
      <c r="B29" s="46" t="s">
        <v>97</v>
      </c>
      <c r="C29" s="19" t="s">
        <v>92</v>
      </c>
      <c r="D29" s="15" t="s">
        <v>98</v>
      </c>
      <c r="E29" s="47" t="s">
        <v>99</v>
      </c>
      <c r="F29" s="48" t="s">
        <v>205</v>
      </c>
    </row>
    <row r="30" spans="2:6" ht="27.75" customHeight="1" x14ac:dyDescent="0.35">
      <c r="B30" s="46" t="s">
        <v>100</v>
      </c>
      <c r="C30" s="19" t="s">
        <v>92</v>
      </c>
      <c r="D30" s="15" t="s">
        <v>98</v>
      </c>
      <c r="E30" s="47" t="s">
        <v>101</v>
      </c>
      <c r="F30" s="48" t="s">
        <v>205</v>
      </c>
    </row>
    <row r="32" spans="2:6" ht="19.5" customHeight="1" x14ac:dyDescent="0.35">
      <c r="B32" s="87" t="s">
        <v>207</v>
      </c>
      <c r="C32" s="72"/>
      <c r="D32" s="72"/>
      <c r="E32" s="72"/>
      <c r="F32" s="72"/>
    </row>
    <row r="33" spans="2:5" ht="19.5" customHeight="1" x14ac:dyDescent="0.35">
      <c r="B33" s="12" t="s">
        <v>208</v>
      </c>
      <c r="C33" s="12" t="s">
        <v>209</v>
      </c>
      <c r="D33" s="12" t="s">
        <v>210</v>
      </c>
      <c r="E33" s="12" t="s">
        <v>211</v>
      </c>
    </row>
    <row r="34" spans="2:5" ht="15" customHeight="1" x14ac:dyDescent="0.35">
      <c r="B34" s="49">
        <v>2026</v>
      </c>
      <c r="C34" s="49" t="s">
        <v>123</v>
      </c>
      <c r="D34" s="50"/>
      <c r="E34" s="50"/>
    </row>
    <row r="35" spans="2:5" ht="15" customHeight="1" x14ac:dyDescent="0.35">
      <c r="B35" s="49">
        <v>2026</v>
      </c>
      <c r="C35" s="49" t="s">
        <v>124</v>
      </c>
      <c r="D35" s="50"/>
      <c r="E35" s="50"/>
    </row>
    <row r="36" spans="2:5" ht="15" customHeight="1" x14ac:dyDescent="0.35">
      <c r="B36" s="49">
        <v>2026</v>
      </c>
      <c r="C36" s="49" t="s">
        <v>125</v>
      </c>
      <c r="D36" s="50"/>
      <c r="E36" s="50"/>
    </row>
    <row r="37" spans="2:5" ht="15" customHeight="1" x14ac:dyDescent="0.35">
      <c r="B37" s="49">
        <v>2026</v>
      </c>
      <c r="C37" s="49" t="s">
        <v>126</v>
      </c>
      <c r="D37" s="50"/>
      <c r="E37" s="50"/>
    </row>
    <row r="38" spans="2:5" ht="15" customHeight="1" x14ac:dyDescent="0.35">
      <c r="B38" s="49">
        <v>2026</v>
      </c>
      <c r="C38" s="49" t="s">
        <v>127</v>
      </c>
      <c r="D38" s="50"/>
      <c r="E38" s="50"/>
    </row>
    <row r="39" spans="2:5" ht="15" customHeight="1" x14ac:dyDescent="0.35">
      <c r="B39" s="49">
        <v>2026</v>
      </c>
      <c r="C39" s="49" t="s">
        <v>128</v>
      </c>
      <c r="D39" s="50"/>
      <c r="E39" s="50"/>
    </row>
    <row r="40" spans="2:5" ht="15" customHeight="1" x14ac:dyDescent="0.35">
      <c r="B40" s="49">
        <v>2026</v>
      </c>
      <c r="C40" s="49" t="s">
        <v>129</v>
      </c>
      <c r="D40" s="50"/>
      <c r="E40" s="50"/>
    </row>
    <row r="41" spans="2:5" ht="15" customHeight="1" x14ac:dyDescent="0.35">
      <c r="B41" s="49">
        <v>2026</v>
      </c>
      <c r="C41" s="49" t="s">
        <v>130</v>
      </c>
      <c r="D41" s="50"/>
      <c r="E41" s="50"/>
    </row>
    <row r="42" spans="2:5" ht="15" customHeight="1" x14ac:dyDescent="0.35">
      <c r="B42" s="49">
        <v>2026</v>
      </c>
      <c r="C42" s="49" t="s">
        <v>131</v>
      </c>
      <c r="D42" s="50"/>
      <c r="E42" s="50"/>
    </row>
    <row r="43" spans="2:5" ht="15" customHeight="1" x14ac:dyDescent="0.35">
      <c r="B43" s="49">
        <v>2026</v>
      </c>
      <c r="C43" s="49" t="s">
        <v>132</v>
      </c>
      <c r="D43" s="50"/>
      <c r="E43" s="50"/>
    </row>
    <row r="44" spans="2:5" ht="15" customHeight="1" x14ac:dyDescent="0.35">
      <c r="B44" s="49">
        <v>2026</v>
      </c>
      <c r="C44" s="49" t="s">
        <v>133</v>
      </c>
      <c r="D44" s="50"/>
      <c r="E44" s="50"/>
    </row>
    <row r="45" spans="2:5" ht="15" customHeight="1" x14ac:dyDescent="0.35">
      <c r="B45" s="49">
        <v>2026</v>
      </c>
      <c r="C45" s="49" t="s">
        <v>134</v>
      </c>
      <c r="D45" s="50"/>
      <c r="E45" s="50"/>
    </row>
    <row r="46" spans="2:5" ht="15" customHeight="1" x14ac:dyDescent="0.35">
      <c r="B46" s="49">
        <v>2027</v>
      </c>
      <c r="C46" s="49" t="s">
        <v>123</v>
      </c>
      <c r="D46" s="50"/>
      <c r="E46" s="50"/>
    </row>
    <row r="47" spans="2:5" ht="15" customHeight="1" x14ac:dyDescent="0.35">
      <c r="B47" s="49">
        <v>2027</v>
      </c>
      <c r="C47" s="49" t="s">
        <v>124</v>
      </c>
      <c r="D47" s="50"/>
      <c r="E47" s="50"/>
    </row>
    <row r="48" spans="2:5" ht="15" customHeight="1" x14ac:dyDescent="0.35">
      <c r="B48" s="49">
        <v>2027</v>
      </c>
      <c r="C48" s="49" t="s">
        <v>125</v>
      </c>
      <c r="D48" s="50"/>
      <c r="E48" s="50"/>
    </row>
    <row r="49" spans="2:5" ht="15" customHeight="1" x14ac:dyDescent="0.35">
      <c r="B49" s="49">
        <v>2027</v>
      </c>
      <c r="C49" s="49" t="s">
        <v>126</v>
      </c>
      <c r="D49" s="50"/>
      <c r="E49" s="50"/>
    </row>
    <row r="50" spans="2:5" ht="15" customHeight="1" x14ac:dyDescent="0.35">
      <c r="B50" s="49">
        <v>2027</v>
      </c>
      <c r="C50" s="49" t="s">
        <v>127</v>
      </c>
      <c r="D50" s="50"/>
      <c r="E50" s="50"/>
    </row>
    <row r="51" spans="2:5" ht="15" customHeight="1" x14ac:dyDescent="0.35">
      <c r="B51" s="49">
        <v>2027</v>
      </c>
      <c r="C51" s="49" t="s">
        <v>128</v>
      </c>
      <c r="D51" s="50"/>
      <c r="E51" s="50"/>
    </row>
    <row r="52" spans="2:5" ht="15" customHeight="1" x14ac:dyDescent="0.35">
      <c r="B52" s="49">
        <v>2027</v>
      </c>
      <c r="C52" s="49" t="s">
        <v>129</v>
      </c>
      <c r="D52" s="50"/>
      <c r="E52" s="50"/>
    </row>
    <row r="53" spans="2:5" ht="15" customHeight="1" x14ac:dyDescent="0.35">
      <c r="B53" s="49">
        <v>2027</v>
      </c>
      <c r="C53" s="49" t="s">
        <v>130</v>
      </c>
      <c r="D53" s="50"/>
      <c r="E53" s="50"/>
    </row>
    <row r="54" spans="2:5" ht="15" customHeight="1" x14ac:dyDescent="0.35">
      <c r="B54" s="49">
        <v>2027</v>
      </c>
      <c r="C54" s="49" t="s">
        <v>131</v>
      </c>
      <c r="D54" s="50"/>
      <c r="E54" s="50"/>
    </row>
    <row r="55" spans="2:5" ht="15" customHeight="1" x14ac:dyDescent="0.35">
      <c r="B55" s="49">
        <v>2027</v>
      </c>
      <c r="C55" s="49" t="s">
        <v>132</v>
      </c>
      <c r="D55" s="50"/>
      <c r="E55" s="50"/>
    </row>
    <row r="56" spans="2:5" ht="15" customHeight="1" x14ac:dyDescent="0.35">
      <c r="B56" s="49">
        <v>2027</v>
      </c>
      <c r="C56" s="49" t="s">
        <v>133</v>
      </c>
      <c r="D56" s="50"/>
      <c r="E56" s="50"/>
    </row>
    <row r="57" spans="2:5" ht="15" customHeight="1" x14ac:dyDescent="0.35">
      <c r="B57" s="49">
        <v>2027</v>
      </c>
      <c r="C57" s="49" t="s">
        <v>134</v>
      </c>
      <c r="D57" s="50"/>
      <c r="E57" s="50"/>
    </row>
    <row r="58" spans="2:5" ht="15" customHeight="1" x14ac:dyDescent="0.35">
      <c r="B58" s="49">
        <v>2028</v>
      </c>
      <c r="C58" s="49" t="s">
        <v>123</v>
      </c>
      <c r="D58" s="50"/>
      <c r="E58" s="50"/>
    </row>
    <row r="59" spans="2:5" ht="15" customHeight="1" x14ac:dyDescent="0.35">
      <c r="B59" s="49">
        <v>2028</v>
      </c>
      <c r="C59" s="49" t="s">
        <v>124</v>
      </c>
      <c r="D59" s="50"/>
      <c r="E59" s="50"/>
    </row>
    <row r="60" spans="2:5" ht="15" customHeight="1" x14ac:dyDescent="0.35">
      <c r="B60" s="49">
        <v>2028</v>
      </c>
      <c r="C60" s="49" t="s">
        <v>125</v>
      </c>
      <c r="D60" s="50"/>
      <c r="E60" s="50"/>
    </row>
    <row r="61" spans="2:5" ht="15" customHeight="1" x14ac:dyDescent="0.35">
      <c r="B61" s="49">
        <v>2028</v>
      </c>
      <c r="C61" s="49" t="s">
        <v>126</v>
      </c>
      <c r="D61" s="50"/>
      <c r="E61" s="50"/>
    </row>
    <row r="62" spans="2:5" ht="15" customHeight="1" x14ac:dyDescent="0.35">
      <c r="B62" s="49">
        <v>2028</v>
      </c>
      <c r="C62" s="49" t="s">
        <v>127</v>
      </c>
      <c r="D62" s="50"/>
      <c r="E62" s="50"/>
    </row>
    <row r="63" spans="2:5" ht="15" customHeight="1" x14ac:dyDescent="0.35">
      <c r="B63" s="49">
        <v>2028</v>
      </c>
      <c r="C63" s="49" t="s">
        <v>128</v>
      </c>
      <c r="D63" s="50"/>
      <c r="E63" s="50"/>
    </row>
    <row r="64" spans="2:5" ht="15" customHeight="1" x14ac:dyDescent="0.35">
      <c r="B64" s="49">
        <v>2028</v>
      </c>
      <c r="C64" s="49" t="s">
        <v>129</v>
      </c>
      <c r="D64" s="50"/>
      <c r="E64" s="50"/>
    </row>
    <row r="65" spans="2:5" ht="15" customHeight="1" x14ac:dyDescent="0.35">
      <c r="B65" s="49">
        <v>2028</v>
      </c>
      <c r="C65" s="49" t="s">
        <v>130</v>
      </c>
      <c r="D65" s="50"/>
      <c r="E65" s="50"/>
    </row>
    <row r="66" spans="2:5" ht="15" customHeight="1" x14ac:dyDescent="0.35">
      <c r="B66" s="49">
        <v>2028</v>
      </c>
      <c r="C66" s="49" t="s">
        <v>131</v>
      </c>
      <c r="D66" s="50"/>
      <c r="E66" s="50"/>
    </row>
    <row r="67" spans="2:5" ht="15" customHeight="1" x14ac:dyDescent="0.35">
      <c r="B67" s="49">
        <v>2028</v>
      </c>
      <c r="C67" s="49" t="s">
        <v>132</v>
      </c>
      <c r="D67" s="50"/>
      <c r="E67" s="50"/>
    </row>
    <row r="68" spans="2:5" ht="15" customHeight="1" x14ac:dyDescent="0.35">
      <c r="B68" s="49">
        <v>2028</v>
      </c>
      <c r="C68" s="49" t="s">
        <v>133</v>
      </c>
      <c r="D68" s="50"/>
      <c r="E68" s="50"/>
    </row>
    <row r="69" spans="2:5" ht="15" customHeight="1" x14ac:dyDescent="0.35">
      <c r="B69" s="49">
        <v>2028</v>
      </c>
      <c r="C69" s="49" t="s">
        <v>134</v>
      </c>
      <c r="D69" s="50"/>
      <c r="E69" s="50"/>
    </row>
    <row r="70" spans="2:5" ht="15" customHeight="1" x14ac:dyDescent="0.35">
      <c r="B70" s="49">
        <v>2029</v>
      </c>
      <c r="C70" s="49" t="s">
        <v>123</v>
      </c>
      <c r="D70" s="50"/>
      <c r="E70" s="50"/>
    </row>
    <row r="71" spans="2:5" ht="15" customHeight="1" x14ac:dyDescent="0.35">
      <c r="B71" s="49">
        <v>2029</v>
      </c>
      <c r="C71" s="49" t="s">
        <v>124</v>
      </c>
      <c r="D71" s="50"/>
      <c r="E71" s="50"/>
    </row>
    <row r="72" spans="2:5" ht="15" customHeight="1" x14ac:dyDescent="0.35">
      <c r="B72" s="49">
        <v>2029</v>
      </c>
      <c r="C72" s="49" t="s">
        <v>125</v>
      </c>
      <c r="D72" s="50"/>
      <c r="E72" s="50"/>
    </row>
    <row r="73" spans="2:5" ht="15" customHeight="1" x14ac:dyDescent="0.35">
      <c r="B73" s="49">
        <v>2029</v>
      </c>
      <c r="C73" s="49" t="s">
        <v>126</v>
      </c>
      <c r="D73" s="50"/>
      <c r="E73" s="50"/>
    </row>
    <row r="74" spans="2:5" ht="15" customHeight="1" x14ac:dyDescent="0.35">
      <c r="B74" s="49">
        <v>2029</v>
      </c>
      <c r="C74" s="49" t="s">
        <v>127</v>
      </c>
      <c r="D74" s="50"/>
      <c r="E74" s="50"/>
    </row>
    <row r="75" spans="2:5" ht="15" customHeight="1" x14ac:dyDescent="0.35">
      <c r="B75" s="49">
        <v>2029</v>
      </c>
      <c r="C75" s="49" t="s">
        <v>128</v>
      </c>
      <c r="D75" s="50"/>
      <c r="E75" s="50"/>
    </row>
    <row r="76" spans="2:5" ht="15" customHeight="1" x14ac:dyDescent="0.35">
      <c r="B76" s="49">
        <v>2029</v>
      </c>
      <c r="C76" s="49" t="s">
        <v>129</v>
      </c>
      <c r="D76" s="50"/>
      <c r="E76" s="50"/>
    </row>
    <row r="77" spans="2:5" ht="15" customHeight="1" x14ac:dyDescent="0.35">
      <c r="B77" s="49">
        <v>2029</v>
      </c>
      <c r="C77" s="49" t="s">
        <v>130</v>
      </c>
      <c r="D77" s="50"/>
      <c r="E77" s="50"/>
    </row>
    <row r="78" spans="2:5" ht="15" customHeight="1" x14ac:dyDescent="0.35">
      <c r="B78" s="49">
        <v>2029</v>
      </c>
      <c r="C78" s="49" t="s">
        <v>131</v>
      </c>
      <c r="D78" s="50"/>
      <c r="E78" s="50"/>
    </row>
    <row r="79" spans="2:5" ht="15" customHeight="1" x14ac:dyDescent="0.35">
      <c r="B79" s="49">
        <v>2029</v>
      </c>
      <c r="C79" s="49" t="s">
        <v>132</v>
      </c>
      <c r="D79" s="50"/>
      <c r="E79" s="50"/>
    </row>
    <row r="80" spans="2:5" ht="15" customHeight="1" x14ac:dyDescent="0.35">
      <c r="B80" s="49">
        <v>2029</v>
      </c>
      <c r="C80" s="49" t="s">
        <v>133</v>
      </c>
      <c r="D80" s="50"/>
      <c r="E80" s="50"/>
    </row>
    <row r="81" spans="2:5" ht="15" customHeight="1" x14ac:dyDescent="0.35">
      <c r="B81" s="49">
        <v>2029</v>
      </c>
      <c r="C81" s="49" t="s">
        <v>134</v>
      </c>
      <c r="D81" s="50"/>
      <c r="E81" s="50"/>
    </row>
    <row r="82" spans="2:5" ht="15" customHeight="1" x14ac:dyDescent="0.35">
      <c r="B82" s="49">
        <v>2030</v>
      </c>
      <c r="C82" s="49" t="s">
        <v>123</v>
      </c>
      <c r="D82" s="50"/>
      <c r="E82" s="50"/>
    </row>
    <row r="83" spans="2:5" ht="15" customHeight="1" x14ac:dyDescent="0.35">
      <c r="B83" s="49">
        <v>2030</v>
      </c>
      <c r="C83" s="49" t="s">
        <v>124</v>
      </c>
      <c r="D83" s="50"/>
      <c r="E83" s="50"/>
    </row>
    <row r="84" spans="2:5" ht="15" customHeight="1" x14ac:dyDescent="0.35">
      <c r="B84" s="49">
        <v>2030</v>
      </c>
      <c r="C84" s="49" t="s">
        <v>125</v>
      </c>
      <c r="D84" s="50"/>
      <c r="E84" s="50"/>
    </row>
    <row r="85" spans="2:5" ht="15" customHeight="1" x14ac:dyDescent="0.35">
      <c r="B85" s="49">
        <v>2030</v>
      </c>
      <c r="C85" s="49" t="s">
        <v>126</v>
      </c>
      <c r="D85" s="50"/>
      <c r="E85" s="50"/>
    </row>
    <row r="86" spans="2:5" ht="15" customHeight="1" x14ac:dyDescent="0.35">
      <c r="B86" s="49">
        <v>2030</v>
      </c>
      <c r="C86" s="49" t="s">
        <v>127</v>
      </c>
      <c r="D86" s="50"/>
      <c r="E86" s="50"/>
    </row>
    <row r="87" spans="2:5" ht="15" customHeight="1" x14ac:dyDescent="0.35">
      <c r="B87" s="49">
        <v>2030</v>
      </c>
      <c r="C87" s="49" t="s">
        <v>128</v>
      </c>
      <c r="D87" s="50"/>
      <c r="E87" s="50"/>
    </row>
    <row r="88" spans="2:5" ht="15" customHeight="1" x14ac:dyDescent="0.35">
      <c r="B88" s="49">
        <v>2030</v>
      </c>
      <c r="C88" s="49" t="s">
        <v>129</v>
      </c>
      <c r="D88" s="50"/>
      <c r="E88" s="50"/>
    </row>
    <row r="89" spans="2:5" ht="15" customHeight="1" x14ac:dyDescent="0.35">
      <c r="B89" s="49">
        <v>2030</v>
      </c>
      <c r="C89" s="49" t="s">
        <v>130</v>
      </c>
      <c r="D89" s="50"/>
      <c r="E89" s="50"/>
    </row>
    <row r="90" spans="2:5" ht="15" customHeight="1" x14ac:dyDescent="0.35">
      <c r="B90" s="49">
        <v>2030</v>
      </c>
      <c r="C90" s="49" t="s">
        <v>131</v>
      </c>
      <c r="D90" s="50"/>
      <c r="E90" s="50"/>
    </row>
    <row r="91" spans="2:5" ht="15" customHeight="1" x14ac:dyDescent="0.35">
      <c r="B91" s="49">
        <v>2030</v>
      </c>
      <c r="C91" s="49" t="s">
        <v>132</v>
      </c>
      <c r="D91" s="50"/>
      <c r="E91" s="50"/>
    </row>
    <row r="92" spans="2:5" ht="15" customHeight="1" x14ac:dyDescent="0.35">
      <c r="B92" s="49">
        <v>2030</v>
      </c>
      <c r="C92" s="49" t="s">
        <v>133</v>
      </c>
      <c r="D92" s="50"/>
      <c r="E92" s="50"/>
    </row>
    <row r="93" spans="2:5" ht="15" customHeight="1" x14ac:dyDescent="0.35">
      <c r="B93" s="49">
        <v>2030</v>
      </c>
      <c r="C93" s="49" t="s">
        <v>134</v>
      </c>
      <c r="D93" s="50"/>
      <c r="E93" s="50"/>
    </row>
  </sheetData>
  <mergeCells count="3">
    <mergeCell ref="B2:F2"/>
    <mergeCell ref="B4:F4"/>
    <mergeCell ref="B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FB2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97" t="s">
        <v>212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94" t="s">
        <v>213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137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138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VLOOKUP("IND-01",Parámetros!$B$6:$F$30,5,FALSE())</f>
        <v>Gerencia Financiera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0.08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0.1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0.12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0.14000000000000001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0.16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221</v>
      </c>
      <c r="F22" s="21" t="s">
        <v>222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55">
        <v>80</v>
      </c>
      <c r="F23" s="55">
        <v>1000</v>
      </c>
      <c r="G23" s="56">
        <f t="shared" ref="G23:G54" si="0">IFERROR(IF(F23=0,"",E23/F23),"")</f>
        <v>0.08</v>
      </c>
      <c r="H23" s="57">
        <f t="shared" ref="H23:H54" si="1">IFERROR(VLOOKUP(C23,$B$14:$C$18,2,FALSE()),"")</f>
        <v>0.08</v>
      </c>
      <c r="I23" s="56">
        <f t="shared" ref="I23:I54" si="2">IFERROR(IF(OR(G23="",NOT(ISNUMBER(H23))),"",G23/H23),"")</f>
        <v>1</v>
      </c>
      <c r="J23" s="32" t="str">
        <f t="shared" ref="J23:J54" si="3">IFERROR(IF(I23="","Pendiente",IF(I23&gt;=0.95,"Cumple",IF(I23&gt;=0.8,"En riesgo","Crítico"))),"Pendiente")</f>
        <v>Cumple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55">
        <v>80</v>
      </c>
      <c r="F24" s="55">
        <v>1000</v>
      </c>
      <c r="G24" s="56">
        <f t="shared" si="0"/>
        <v>0.08</v>
      </c>
      <c r="H24" s="57">
        <f t="shared" si="1"/>
        <v>0.08</v>
      </c>
      <c r="I24" s="56">
        <f t="shared" si="2"/>
        <v>1</v>
      </c>
      <c r="J24" s="32" t="str">
        <f t="shared" si="3"/>
        <v>Cumple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55">
        <v>80</v>
      </c>
      <c r="F25" s="55">
        <v>1000</v>
      </c>
      <c r="G25" s="56">
        <f t="shared" si="0"/>
        <v>0.08</v>
      </c>
      <c r="H25" s="57">
        <f t="shared" si="1"/>
        <v>0.08</v>
      </c>
      <c r="I25" s="56">
        <f t="shared" si="2"/>
        <v>1</v>
      </c>
      <c r="J25" s="32" t="str">
        <f t="shared" si="3"/>
        <v>Cumple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55">
        <v>80</v>
      </c>
      <c r="F26" s="55">
        <v>1000</v>
      </c>
      <c r="G26" s="56">
        <f t="shared" si="0"/>
        <v>0.08</v>
      </c>
      <c r="H26" s="57">
        <f t="shared" si="1"/>
        <v>0.08</v>
      </c>
      <c r="I26" s="56">
        <f t="shared" si="2"/>
        <v>1</v>
      </c>
      <c r="J26" s="32" t="str">
        <f t="shared" si="3"/>
        <v>Cumple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55">
        <v>80</v>
      </c>
      <c r="F27" s="55">
        <v>1000</v>
      </c>
      <c r="G27" s="56">
        <f t="shared" si="0"/>
        <v>0.08</v>
      </c>
      <c r="H27" s="57">
        <f t="shared" si="1"/>
        <v>0.08</v>
      </c>
      <c r="I27" s="56">
        <f t="shared" si="2"/>
        <v>1</v>
      </c>
      <c r="J27" s="32" t="str">
        <f t="shared" si="3"/>
        <v>Cumple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55">
        <v>80</v>
      </c>
      <c r="F28" s="55">
        <v>1000</v>
      </c>
      <c r="G28" s="56">
        <f t="shared" si="0"/>
        <v>0.08</v>
      </c>
      <c r="H28" s="57">
        <f t="shared" si="1"/>
        <v>0.08</v>
      </c>
      <c r="I28" s="56">
        <f t="shared" si="2"/>
        <v>1</v>
      </c>
      <c r="J28" s="32" t="str">
        <f t="shared" si="3"/>
        <v>Cumple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55">
        <v>80</v>
      </c>
      <c r="F29" s="55">
        <v>1000</v>
      </c>
      <c r="G29" s="56">
        <f t="shared" si="0"/>
        <v>0.08</v>
      </c>
      <c r="H29" s="57">
        <f t="shared" si="1"/>
        <v>0.08</v>
      </c>
      <c r="I29" s="56">
        <f t="shared" si="2"/>
        <v>1</v>
      </c>
      <c r="J29" s="32" t="str">
        <f t="shared" si="3"/>
        <v>Cumple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55">
        <v>80</v>
      </c>
      <c r="F30" s="55">
        <v>1000</v>
      </c>
      <c r="G30" s="56">
        <f t="shared" si="0"/>
        <v>0.08</v>
      </c>
      <c r="H30" s="57">
        <f t="shared" si="1"/>
        <v>0.08</v>
      </c>
      <c r="I30" s="56">
        <f t="shared" si="2"/>
        <v>1</v>
      </c>
      <c r="J30" s="32" t="str">
        <f t="shared" si="3"/>
        <v>Cumple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55">
        <v>80</v>
      </c>
      <c r="F31" s="55">
        <v>1000</v>
      </c>
      <c r="G31" s="56">
        <f t="shared" si="0"/>
        <v>0.08</v>
      </c>
      <c r="H31" s="57">
        <f t="shared" si="1"/>
        <v>0.08</v>
      </c>
      <c r="I31" s="56">
        <f t="shared" si="2"/>
        <v>1</v>
      </c>
      <c r="J31" s="32" t="str">
        <f t="shared" si="3"/>
        <v>Cumple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55">
        <v>80</v>
      </c>
      <c r="F32" s="55">
        <v>1000</v>
      </c>
      <c r="G32" s="56">
        <f t="shared" si="0"/>
        <v>0.08</v>
      </c>
      <c r="H32" s="57">
        <f t="shared" si="1"/>
        <v>0.08</v>
      </c>
      <c r="I32" s="56">
        <f t="shared" si="2"/>
        <v>1</v>
      </c>
      <c r="J32" s="32" t="str">
        <f t="shared" si="3"/>
        <v>Cumple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55">
        <v>80</v>
      </c>
      <c r="F33" s="55">
        <v>1000</v>
      </c>
      <c r="G33" s="56">
        <f t="shared" si="0"/>
        <v>0.08</v>
      </c>
      <c r="H33" s="57">
        <f t="shared" si="1"/>
        <v>0.08</v>
      </c>
      <c r="I33" s="56">
        <f t="shared" si="2"/>
        <v>1</v>
      </c>
      <c r="J33" s="32" t="str">
        <f t="shared" si="3"/>
        <v>Cumple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55">
        <v>80</v>
      </c>
      <c r="F34" s="55">
        <v>1000</v>
      </c>
      <c r="G34" s="56">
        <f t="shared" si="0"/>
        <v>0.08</v>
      </c>
      <c r="H34" s="57">
        <f t="shared" si="1"/>
        <v>0.08</v>
      </c>
      <c r="I34" s="56">
        <f t="shared" si="2"/>
        <v>1</v>
      </c>
      <c r="J34" s="32" t="str">
        <f t="shared" si="3"/>
        <v>Cumple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55">
        <v>90</v>
      </c>
      <c r="F35" s="55">
        <v>1000</v>
      </c>
      <c r="G35" s="56">
        <f t="shared" si="0"/>
        <v>0.09</v>
      </c>
      <c r="H35" s="57">
        <f t="shared" si="1"/>
        <v>0.1</v>
      </c>
      <c r="I35" s="56">
        <f t="shared" si="2"/>
        <v>0.89999999999999991</v>
      </c>
      <c r="J35" s="32" t="str">
        <f t="shared" si="3"/>
        <v>En riesgo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55">
        <v>91</v>
      </c>
      <c r="F36" s="55">
        <v>1000</v>
      </c>
      <c r="G36" s="56">
        <f t="shared" si="0"/>
        <v>9.0999999999999998E-2</v>
      </c>
      <c r="H36" s="57">
        <f t="shared" si="1"/>
        <v>0.1</v>
      </c>
      <c r="I36" s="56">
        <f t="shared" si="2"/>
        <v>0.90999999999999992</v>
      </c>
      <c r="J36" s="32" t="str">
        <f t="shared" si="3"/>
        <v>En riesgo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55">
        <v>92</v>
      </c>
      <c r="F37" s="55">
        <v>1000</v>
      </c>
      <c r="G37" s="56">
        <f t="shared" si="0"/>
        <v>9.1999999999999998E-2</v>
      </c>
      <c r="H37" s="57">
        <f t="shared" si="1"/>
        <v>0.1</v>
      </c>
      <c r="I37" s="56">
        <f t="shared" si="2"/>
        <v>0.91999999999999993</v>
      </c>
      <c r="J37" s="32" t="str">
        <f t="shared" si="3"/>
        <v>En riesgo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55">
        <v>93</v>
      </c>
      <c r="F38" s="55">
        <v>1000</v>
      </c>
      <c r="G38" s="56">
        <f t="shared" si="0"/>
        <v>9.2999999999999999E-2</v>
      </c>
      <c r="H38" s="57">
        <f t="shared" si="1"/>
        <v>0.1</v>
      </c>
      <c r="I38" s="56">
        <f t="shared" si="2"/>
        <v>0.92999999999999994</v>
      </c>
      <c r="J38" s="32" t="str">
        <f t="shared" si="3"/>
        <v>En riesgo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55">
        <v>94</v>
      </c>
      <c r="F39" s="55">
        <v>1000</v>
      </c>
      <c r="G39" s="56">
        <f t="shared" si="0"/>
        <v>9.4E-2</v>
      </c>
      <c r="H39" s="57">
        <f t="shared" si="1"/>
        <v>0.1</v>
      </c>
      <c r="I39" s="56">
        <f t="shared" si="2"/>
        <v>0.94</v>
      </c>
      <c r="J39" s="32" t="str">
        <f t="shared" si="3"/>
        <v>En riesgo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55">
        <v>95</v>
      </c>
      <c r="F40" s="55">
        <v>1000</v>
      </c>
      <c r="G40" s="56">
        <f t="shared" si="0"/>
        <v>9.5000000000000001E-2</v>
      </c>
      <c r="H40" s="57">
        <f t="shared" si="1"/>
        <v>0.1</v>
      </c>
      <c r="I40" s="56">
        <f t="shared" si="2"/>
        <v>0.95</v>
      </c>
      <c r="J40" s="32" t="str">
        <f t="shared" si="3"/>
        <v>Cumple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55"/>
      <c r="F41" s="55"/>
      <c r="G41" s="56" t="str">
        <f t="shared" si="0"/>
        <v/>
      </c>
      <c r="H41" s="57">
        <f t="shared" si="1"/>
        <v>0.1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55"/>
      <c r="F42" s="55"/>
      <c r="G42" s="56" t="str">
        <f t="shared" si="0"/>
        <v/>
      </c>
      <c r="H42" s="57">
        <f t="shared" si="1"/>
        <v>0.1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55"/>
      <c r="F43" s="55"/>
      <c r="G43" s="56" t="str">
        <f t="shared" si="0"/>
        <v/>
      </c>
      <c r="H43" s="57">
        <f t="shared" si="1"/>
        <v>0.1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55"/>
      <c r="F44" s="55"/>
      <c r="G44" s="56" t="str">
        <f t="shared" si="0"/>
        <v/>
      </c>
      <c r="H44" s="57">
        <f t="shared" si="1"/>
        <v>0.1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55"/>
      <c r="F45" s="55"/>
      <c r="G45" s="56" t="str">
        <f t="shared" si="0"/>
        <v/>
      </c>
      <c r="H45" s="57">
        <f t="shared" si="1"/>
        <v>0.1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55"/>
      <c r="F46" s="55"/>
      <c r="G46" s="56" t="str">
        <f t="shared" si="0"/>
        <v/>
      </c>
      <c r="H46" s="57">
        <f t="shared" si="1"/>
        <v>0.1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55"/>
      <c r="F47" s="55"/>
      <c r="G47" s="56" t="str">
        <f t="shared" si="0"/>
        <v/>
      </c>
      <c r="H47" s="57">
        <f t="shared" si="1"/>
        <v>0.12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55"/>
      <c r="F48" s="55"/>
      <c r="G48" s="56" t="str">
        <f t="shared" si="0"/>
        <v/>
      </c>
      <c r="H48" s="57">
        <f t="shared" si="1"/>
        <v>0.12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55"/>
      <c r="F49" s="55"/>
      <c r="G49" s="56" t="str">
        <f t="shared" si="0"/>
        <v/>
      </c>
      <c r="H49" s="57">
        <f t="shared" si="1"/>
        <v>0.12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55"/>
      <c r="F50" s="55"/>
      <c r="G50" s="56" t="str">
        <f t="shared" si="0"/>
        <v/>
      </c>
      <c r="H50" s="57">
        <f t="shared" si="1"/>
        <v>0.12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55"/>
      <c r="F51" s="55"/>
      <c r="G51" s="56" t="str">
        <f t="shared" si="0"/>
        <v/>
      </c>
      <c r="H51" s="57">
        <f t="shared" si="1"/>
        <v>0.12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55"/>
      <c r="F52" s="55"/>
      <c r="G52" s="56" t="str">
        <f t="shared" si="0"/>
        <v/>
      </c>
      <c r="H52" s="57">
        <f t="shared" si="1"/>
        <v>0.12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55"/>
      <c r="F53" s="55"/>
      <c r="G53" s="56" t="str">
        <f t="shared" si="0"/>
        <v/>
      </c>
      <c r="H53" s="57">
        <f t="shared" si="1"/>
        <v>0.12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55"/>
      <c r="F54" s="55"/>
      <c r="G54" s="56" t="str">
        <f t="shared" si="0"/>
        <v/>
      </c>
      <c r="H54" s="57">
        <f t="shared" si="1"/>
        <v>0.12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55"/>
      <c r="F55" s="55"/>
      <c r="G55" s="56" t="str">
        <f t="shared" ref="G55:G86" si="4">IFERROR(IF(F55=0,"",E55/F55),"")</f>
        <v/>
      </c>
      <c r="H55" s="57">
        <f t="shared" ref="H55:H82" si="5">IFERROR(VLOOKUP(C55,$B$14:$C$18,2,FALSE()),"")</f>
        <v>0.12</v>
      </c>
      <c r="I55" s="56" t="str">
        <f t="shared" ref="I55:I86" si="6">IFERROR(IF(OR(G55="",NOT(ISNUMBER(H55))),"",G55/H55),"")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55"/>
      <c r="F56" s="55"/>
      <c r="G56" s="56" t="str">
        <f t="shared" si="4"/>
        <v/>
      </c>
      <c r="H56" s="57">
        <f t="shared" si="5"/>
        <v>0.12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55"/>
      <c r="F57" s="55"/>
      <c r="G57" s="56" t="str">
        <f t="shared" si="4"/>
        <v/>
      </c>
      <c r="H57" s="57">
        <f t="shared" si="5"/>
        <v>0.12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55"/>
      <c r="F58" s="55"/>
      <c r="G58" s="56" t="str">
        <f t="shared" si="4"/>
        <v/>
      </c>
      <c r="H58" s="57">
        <f t="shared" si="5"/>
        <v>0.12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55"/>
      <c r="F59" s="55"/>
      <c r="G59" s="56" t="str">
        <f t="shared" si="4"/>
        <v/>
      </c>
      <c r="H59" s="57">
        <f t="shared" si="5"/>
        <v>0.14000000000000001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55"/>
      <c r="F60" s="55"/>
      <c r="G60" s="56" t="str">
        <f t="shared" si="4"/>
        <v/>
      </c>
      <c r="H60" s="57">
        <f t="shared" si="5"/>
        <v>0.14000000000000001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55"/>
      <c r="F61" s="55"/>
      <c r="G61" s="56" t="str">
        <f t="shared" si="4"/>
        <v/>
      </c>
      <c r="H61" s="57">
        <f t="shared" si="5"/>
        <v>0.14000000000000001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55"/>
      <c r="F62" s="55"/>
      <c r="G62" s="56" t="str">
        <f t="shared" si="4"/>
        <v/>
      </c>
      <c r="H62" s="57">
        <f t="shared" si="5"/>
        <v>0.14000000000000001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55"/>
      <c r="F63" s="55"/>
      <c r="G63" s="56" t="str">
        <f t="shared" si="4"/>
        <v/>
      </c>
      <c r="H63" s="57">
        <f t="shared" si="5"/>
        <v>0.14000000000000001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55"/>
      <c r="F64" s="55"/>
      <c r="G64" s="56" t="str">
        <f t="shared" si="4"/>
        <v/>
      </c>
      <c r="H64" s="57">
        <f t="shared" si="5"/>
        <v>0.14000000000000001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55"/>
      <c r="F65" s="55"/>
      <c r="G65" s="56" t="str">
        <f t="shared" si="4"/>
        <v/>
      </c>
      <c r="H65" s="57">
        <f t="shared" si="5"/>
        <v>0.14000000000000001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55"/>
      <c r="F66" s="55"/>
      <c r="G66" s="56" t="str">
        <f t="shared" si="4"/>
        <v/>
      </c>
      <c r="H66" s="57">
        <f t="shared" si="5"/>
        <v>0.14000000000000001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55"/>
      <c r="F67" s="55"/>
      <c r="G67" s="56" t="str">
        <f t="shared" si="4"/>
        <v/>
      </c>
      <c r="H67" s="57">
        <f t="shared" si="5"/>
        <v>0.14000000000000001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55"/>
      <c r="F68" s="55"/>
      <c r="G68" s="56" t="str">
        <f t="shared" si="4"/>
        <v/>
      </c>
      <c r="H68" s="57">
        <f t="shared" si="5"/>
        <v>0.14000000000000001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55"/>
      <c r="F69" s="55"/>
      <c r="G69" s="56" t="str">
        <f t="shared" si="4"/>
        <v/>
      </c>
      <c r="H69" s="57">
        <f t="shared" si="5"/>
        <v>0.14000000000000001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55"/>
      <c r="F70" s="55"/>
      <c r="G70" s="56" t="str">
        <f t="shared" si="4"/>
        <v/>
      </c>
      <c r="H70" s="57">
        <f t="shared" si="5"/>
        <v>0.14000000000000001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55"/>
      <c r="F71" s="55"/>
      <c r="G71" s="56" t="str">
        <f t="shared" si="4"/>
        <v/>
      </c>
      <c r="H71" s="57">
        <f t="shared" si="5"/>
        <v>0.16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55"/>
      <c r="F72" s="55"/>
      <c r="G72" s="56" t="str">
        <f t="shared" si="4"/>
        <v/>
      </c>
      <c r="H72" s="57">
        <f t="shared" si="5"/>
        <v>0.16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55"/>
      <c r="F73" s="55"/>
      <c r="G73" s="56" t="str">
        <f t="shared" si="4"/>
        <v/>
      </c>
      <c r="H73" s="57">
        <f t="shared" si="5"/>
        <v>0.16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55"/>
      <c r="F74" s="55"/>
      <c r="G74" s="56" t="str">
        <f t="shared" si="4"/>
        <v/>
      </c>
      <c r="H74" s="57">
        <f t="shared" si="5"/>
        <v>0.16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55"/>
      <c r="F75" s="55"/>
      <c r="G75" s="56" t="str">
        <f t="shared" si="4"/>
        <v/>
      </c>
      <c r="H75" s="57">
        <f t="shared" si="5"/>
        <v>0.16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55"/>
      <c r="F76" s="55"/>
      <c r="G76" s="56" t="str">
        <f t="shared" si="4"/>
        <v/>
      </c>
      <c r="H76" s="57">
        <f t="shared" si="5"/>
        <v>0.16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55"/>
      <c r="F77" s="55"/>
      <c r="G77" s="56" t="str">
        <f t="shared" si="4"/>
        <v/>
      </c>
      <c r="H77" s="57">
        <f t="shared" si="5"/>
        <v>0.16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55"/>
      <c r="F78" s="55"/>
      <c r="G78" s="56" t="str">
        <f t="shared" si="4"/>
        <v/>
      </c>
      <c r="H78" s="57">
        <f t="shared" si="5"/>
        <v>0.16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55"/>
      <c r="F79" s="55"/>
      <c r="G79" s="56" t="str">
        <f t="shared" si="4"/>
        <v/>
      </c>
      <c r="H79" s="57">
        <f t="shared" si="5"/>
        <v>0.16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55"/>
      <c r="F80" s="55"/>
      <c r="G80" s="56" t="str">
        <f t="shared" si="4"/>
        <v/>
      </c>
      <c r="H80" s="57">
        <f t="shared" si="5"/>
        <v>0.16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55"/>
      <c r="F81" s="55"/>
      <c r="G81" s="56" t="str">
        <f t="shared" si="4"/>
        <v/>
      </c>
      <c r="H81" s="57">
        <f t="shared" si="5"/>
        <v>0.16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55"/>
      <c r="F82" s="55"/>
      <c r="G82" s="56" t="str">
        <f t="shared" si="4"/>
        <v/>
      </c>
      <c r="H82" s="57">
        <f t="shared" si="5"/>
        <v>0.16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174" priority="2">
      <formula>AND(ISNUMBER(I23),I23&gt;=0.95)</formula>
    </cfRule>
    <cfRule type="expression" dxfId="173" priority="3">
      <formula>AND(ISNUMBER(I23),I23&gt;=0.8,I23&lt;0.95)</formula>
    </cfRule>
    <cfRule type="expression" dxfId="172" priority="4">
      <formula>AND(ISNUMBER(I23),I23&lt;0.8)</formula>
    </cfRule>
  </conditionalFormatting>
  <conditionalFormatting sqref="J23:J82">
    <cfRule type="expression" dxfId="171" priority="5">
      <formula>J23="Cumple"</formula>
    </cfRule>
    <cfRule type="expression" dxfId="170" priority="6">
      <formula>J23="En riesgo"</formula>
    </cfRule>
    <cfRule type="expression" dxfId="169" priority="7">
      <formula>J23="Crítico"</formula>
    </cfRule>
    <cfRule type="expression" dxfId="168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FB2"/>
  </sheetPr>
  <dimension ref="B2:I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5" width="22" customWidth="1"/>
    <col min="6" max="6" width="15" customWidth="1"/>
    <col min="7" max="7" width="12" customWidth="1"/>
    <col min="8" max="9" width="13" customWidth="1"/>
  </cols>
  <sheetData>
    <row r="2" spans="2:9" ht="27.75" customHeight="1" x14ac:dyDescent="0.35">
      <c r="B2" s="97" t="s">
        <v>239</v>
      </c>
      <c r="C2" s="72"/>
      <c r="D2" s="72"/>
      <c r="E2" s="72"/>
      <c r="F2" s="72"/>
      <c r="G2" s="72"/>
      <c r="H2" s="72"/>
      <c r="I2" s="72"/>
    </row>
    <row r="3" spans="2:9" ht="18" customHeight="1" x14ac:dyDescent="0.35">
      <c r="B3" s="94" t="s">
        <v>213</v>
      </c>
      <c r="C3" s="72"/>
      <c r="D3" s="72"/>
      <c r="E3" s="72"/>
      <c r="F3" s="72"/>
      <c r="G3" s="72"/>
      <c r="H3" s="72"/>
      <c r="I3" s="72"/>
    </row>
    <row r="5" spans="2:9" ht="25.5" customHeight="1" x14ac:dyDescent="0.35">
      <c r="B5" s="88" t="s">
        <v>113</v>
      </c>
      <c r="C5" s="81"/>
      <c r="D5" s="89" t="s">
        <v>141</v>
      </c>
      <c r="E5" s="80"/>
      <c r="F5" s="80"/>
      <c r="G5" s="80"/>
      <c r="H5" s="80"/>
      <c r="I5" s="81"/>
    </row>
    <row r="6" spans="2:9" ht="25.5" customHeight="1" x14ac:dyDescent="0.35">
      <c r="B6" s="88" t="s">
        <v>114</v>
      </c>
      <c r="C6" s="81"/>
      <c r="D6" s="89" t="s">
        <v>142</v>
      </c>
      <c r="E6" s="80"/>
      <c r="F6" s="80"/>
      <c r="G6" s="80"/>
      <c r="H6" s="80"/>
      <c r="I6" s="81"/>
    </row>
    <row r="7" spans="2:9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1"/>
    </row>
    <row r="8" spans="2:9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1"/>
    </row>
    <row r="9" spans="2:9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1"/>
    </row>
    <row r="10" spans="2:9" ht="19.5" customHeight="1" x14ac:dyDescent="0.35">
      <c r="B10" s="88" t="s">
        <v>117</v>
      </c>
      <c r="C10" s="81"/>
      <c r="D10" s="93" t="str">
        <f>VLOOKUP("IND-02",Parámetros!$B$6:$F$30,5,FALSE())</f>
        <v>Gerencia Financiera</v>
      </c>
      <c r="E10" s="80"/>
      <c r="F10" s="80"/>
      <c r="G10" s="80"/>
      <c r="H10" s="80"/>
      <c r="I10" s="81"/>
    </row>
    <row r="12" spans="2:9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</row>
    <row r="13" spans="2:9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1"/>
    </row>
    <row r="14" spans="2:9" ht="19.5" customHeight="1" x14ac:dyDescent="0.35">
      <c r="B14" s="51">
        <v>2026</v>
      </c>
      <c r="C14" s="91">
        <v>0.1</v>
      </c>
      <c r="D14" s="81"/>
      <c r="E14" s="92"/>
      <c r="F14" s="80"/>
      <c r="G14" s="80"/>
      <c r="H14" s="80"/>
      <c r="I14" s="80"/>
    </row>
    <row r="15" spans="2:9" ht="19.5" customHeight="1" x14ac:dyDescent="0.35">
      <c r="B15" s="51">
        <v>2027</v>
      </c>
      <c r="C15" s="91">
        <v>0.1</v>
      </c>
      <c r="D15" s="81"/>
      <c r="E15" s="92"/>
      <c r="F15" s="80"/>
      <c r="G15" s="80"/>
      <c r="H15" s="80"/>
      <c r="I15" s="80"/>
    </row>
    <row r="16" spans="2:9" ht="19.5" customHeight="1" x14ac:dyDescent="0.35">
      <c r="B16" s="51">
        <v>2028</v>
      </c>
      <c r="C16" s="91">
        <v>0.1</v>
      </c>
      <c r="D16" s="81"/>
      <c r="E16" s="92"/>
      <c r="F16" s="80"/>
      <c r="G16" s="80"/>
      <c r="H16" s="80"/>
      <c r="I16" s="80"/>
    </row>
    <row r="17" spans="2:9" ht="19.5" customHeight="1" x14ac:dyDescent="0.35">
      <c r="B17" s="51">
        <v>2029</v>
      </c>
      <c r="C17" s="91">
        <v>0.1</v>
      </c>
      <c r="D17" s="81"/>
      <c r="E17" s="92"/>
      <c r="F17" s="80"/>
      <c r="G17" s="80"/>
      <c r="H17" s="80"/>
      <c r="I17" s="80"/>
    </row>
    <row r="18" spans="2:9" ht="19.5" customHeight="1" x14ac:dyDescent="0.35">
      <c r="B18" s="51">
        <v>2030</v>
      </c>
      <c r="C18" s="91">
        <v>0.1</v>
      </c>
      <c r="D18" s="81"/>
      <c r="E18" s="92"/>
      <c r="F18" s="80"/>
      <c r="G18" s="80"/>
      <c r="H18" s="80"/>
      <c r="I18" s="80"/>
    </row>
    <row r="20" spans="2:9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</row>
    <row r="21" spans="2:9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</row>
    <row r="22" spans="2:9" ht="30" customHeight="1" x14ac:dyDescent="0.35">
      <c r="B22" s="21" t="s">
        <v>220</v>
      </c>
      <c r="C22" s="21" t="s">
        <v>208</v>
      </c>
      <c r="D22" s="21" t="s">
        <v>209</v>
      </c>
      <c r="E22" s="21" t="s">
        <v>240</v>
      </c>
      <c r="F22" s="21" t="s">
        <v>223</v>
      </c>
      <c r="G22" s="21" t="s">
        <v>224</v>
      </c>
      <c r="H22" s="21" t="s">
        <v>225</v>
      </c>
      <c r="I22" s="21" t="s">
        <v>226</v>
      </c>
    </row>
    <row r="23" spans="2:9" ht="18" customHeight="1" x14ac:dyDescent="0.35">
      <c r="B23" s="52">
        <v>1</v>
      </c>
      <c r="C23" s="53">
        <v>2026</v>
      </c>
      <c r="D23" s="54" t="s">
        <v>227</v>
      </c>
      <c r="E23" s="55">
        <v>1000000</v>
      </c>
      <c r="F23" s="56"/>
      <c r="G23" s="57">
        <f t="shared" ref="G23:G54" si="0">IFERROR(VLOOKUP(C23,$B$14:$C$18,2,FALSE()),"")</f>
        <v>0.1</v>
      </c>
      <c r="H23" s="56" t="str">
        <f t="shared" ref="H23:H54" si="1">IFERROR(IF(OR(F23="",NOT(ISNUMBER(G23))),"",F23/G23),"")</f>
        <v/>
      </c>
      <c r="I23" s="32" t="str">
        <f t="shared" ref="I23:I54" si="2">IFERROR(IF(H23="","Pendiente",IF(H23&gt;=0.95,"Cumple",IF(H23&gt;=0.8,"En riesgo","Crítico"))),"Pendiente")</f>
        <v>Pendiente</v>
      </c>
    </row>
    <row r="24" spans="2:9" ht="18" customHeight="1" x14ac:dyDescent="0.35">
      <c r="B24" s="52">
        <v>2</v>
      </c>
      <c r="C24" s="53">
        <v>2026</v>
      </c>
      <c r="D24" s="54" t="s">
        <v>228</v>
      </c>
      <c r="E24" s="55">
        <v>1008000</v>
      </c>
      <c r="F24" s="56">
        <f t="shared" ref="F24:F55" si="3">IFERROR(IF(OR(E24="",E23="",E23=0),"",(E24-E23)/E23),"")</f>
        <v>8.0000000000000002E-3</v>
      </c>
      <c r="G24" s="57">
        <f t="shared" si="0"/>
        <v>0.1</v>
      </c>
      <c r="H24" s="56">
        <f t="shared" si="1"/>
        <v>0.08</v>
      </c>
      <c r="I24" s="32" t="str">
        <f t="shared" si="2"/>
        <v>Crítico</v>
      </c>
    </row>
    <row r="25" spans="2:9" ht="18" customHeight="1" x14ac:dyDescent="0.35">
      <c r="B25" s="52">
        <v>3</v>
      </c>
      <c r="C25" s="53">
        <v>2026</v>
      </c>
      <c r="D25" s="54" t="s">
        <v>229</v>
      </c>
      <c r="E25" s="55">
        <v>1016064</v>
      </c>
      <c r="F25" s="56">
        <f t="shared" si="3"/>
        <v>8.0000000000000002E-3</v>
      </c>
      <c r="G25" s="57">
        <f t="shared" si="0"/>
        <v>0.1</v>
      </c>
      <c r="H25" s="56">
        <f t="shared" si="1"/>
        <v>0.08</v>
      </c>
      <c r="I25" s="32" t="str">
        <f t="shared" si="2"/>
        <v>Crítico</v>
      </c>
    </row>
    <row r="26" spans="2:9" ht="18" customHeight="1" x14ac:dyDescent="0.35">
      <c r="B26" s="52">
        <v>4</v>
      </c>
      <c r="C26" s="53">
        <v>2026</v>
      </c>
      <c r="D26" s="54" t="s">
        <v>230</v>
      </c>
      <c r="E26" s="55">
        <v>1024192.512</v>
      </c>
      <c r="F26" s="56">
        <f t="shared" si="3"/>
        <v>7.999999999999988E-3</v>
      </c>
      <c r="G26" s="57">
        <f t="shared" si="0"/>
        <v>0.1</v>
      </c>
      <c r="H26" s="56">
        <f t="shared" si="1"/>
        <v>7.9999999999999877E-2</v>
      </c>
      <c r="I26" s="32" t="str">
        <f t="shared" si="2"/>
        <v>Crítico</v>
      </c>
    </row>
    <row r="27" spans="2:9" ht="18" customHeight="1" x14ac:dyDescent="0.35">
      <c r="B27" s="52">
        <v>5</v>
      </c>
      <c r="C27" s="53">
        <v>2026</v>
      </c>
      <c r="D27" s="54" t="s">
        <v>231</v>
      </c>
      <c r="E27" s="55">
        <v>1032386.0520960001</v>
      </c>
      <c r="F27" s="56">
        <f t="shared" si="3"/>
        <v>8.0000000000000678E-3</v>
      </c>
      <c r="G27" s="57">
        <f t="shared" si="0"/>
        <v>0.1</v>
      </c>
      <c r="H27" s="56">
        <f t="shared" si="1"/>
        <v>8.0000000000000668E-2</v>
      </c>
      <c r="I27" s="32" t="str">
        <f t="shared" si="2"/>
        <v>Crítico</v>
      </c>
    </row>
    <row r="28" spans="2:9" ht="18" customHeight="1" x14ac:dyDescent="0.35">
      <c r="B28" s="52">
        <v>6</v>
      </c>
      <c r="C28" s="53">
        <v>2026</v>
      </c>
      <c r="D28" s="54" t="s">
        <v>232</v>
      </c>
      <c r="E28" s="55">
        <v>1040645.1405127679</v>
      </c>
      <c r="F28" s="56">
        <f t="shared" si="3"/>
        <v>7.9999999999998926E-3</v>
      </c>
      <c r="G28" s="57">
        <f t="shared" si="0"/>
        <v>0.1</v>
      </c>
      <c r="H28" s="56">
        <f t="shared" si="1"/>
        <v>7.9999999999998919E-2</v>
      </c>
      <c r="I28" s="32" t="str">
        <f t="shared" si="2"/>
        <v>Crítico</v>
      </c>
    </row>
    <row r="29" spans="2:9" ht="18" customHeight="1" x14ac:dyDescent="0.35">
      <c r="B29" s="52">
        <v>7</v>
      </c>
      <c r="C29" s="53">
        <v>2026</v>
      </c>
      <c r="D29" s="54" t="s">
        <v>233</v>
      </c>
      <c r="E29" s="55">
        <v>1048970.30163687</v>
      </c>
      <c r="F29" s="56">
        <f t="shared" si="3"/>
        <v>7.9999999999999325E-3</v>
      </c>
      <c r="G29" s="57">
        <f t="shared" si="0"/>
        <v>0.1</v>
      </c>
      <c r="H29" s="56">
        <f t="shared" si="1"/>
        <v>7.9999999999999322E-2</v>
      </c>
      <c r="I29" s="32" t="str">
        <f t="shared" si="2"/>
        <v>Crítico</v>
      </c>
    </row>
    <row r="30" spans="2:9" ht="18" customHeight="1" x14ac:dyDescent="0.35">
      <c r="B30" s="52">
        <v>8</v>
      </c>
      <c r="C30" s="53">
        <v>2026</v>
      </c>
      <c r="D30" s="54" t="s">
        <v>234</v>
      </c>
      <c r="E30" s="55">
        <v>1057362.064049965</v>
      </c>
      <c r="F30" s="56">
        <f t="shared" si="3"/>
        <v>8.0000000000000227E-3</v>
      </c>
      <c r="G30" s="57">
        <f t="shared" si="0"/>
        <v>0.1</v>
      </c>
      <c r="H30" s="56">
        <f t="shared" si="1"/>
        <v>8.0000000000000224E-2</v>
      </c>
      <c r="I30" s="32" t="str">
        <f t="shared" si="2"/>
        <v>Crítico</v>
      </c>
    </row>
    <row r="31" spans="2:9" ht="18" customHeight="1" x14ac:dyDescent="0.35">
      <c r="B31" s="52">
        <v>9</v>
      </c>
      <c r="C31" s="53">
        <v>2026</v>
      </c>
      <c r="D31" s="54" t="s">
        <v>235</v>
      </c>
      <c r="E31" s="55">
        <v>1065820.9605623649</v>
      </c>
      <c r="F31" s="56">
        <f t="shared" si="3"/>
        <v>8.0000000000001632E-3</v>
      </c>
      <c r="G31" s="57">
        <f t="shared" si="0"/>
        <v>0.1</v>
      </c>
      <c r="H31" s="56">
        <f t="shared" si="1"/>
        <v>8.0000000000001625E-2</v>
      </c>
      <c r="I31" s="32" t="str">
        <f t="shared" si="2"/>
        <v>Crítico</v>
      </c>
    </row>
    <row r="32" spans="2:9" ht="18" customHeight="1" x14ac:dyDescent="0.35">
      <c r="B32" s="52">
        <v>10</v>
      </c>
      <c r="C32" s="53">
        <v>2026</v>
      </c>
      <c r="D32" s="54" t="s">
        <v>236</v>
      </c>
      <c r="E32" s="55">
        <v>1074347.528246864</v>
      </c>
      <c r="F32" s="56">
        <f t="shared" si="3"/>
        <v>8.0000000000001528E-3</v>
      </c>
      <c r="G32" s="57">
        <f t="shared" si="0"/>
        <v>0.1</v>
      </c>
      <c r="H32" s="56">
        <f t="shared" si="1"/>
        <v>8.0000000000001528E-2</v>
      </c>
      <c r="I32" s="32" t="str">
        <f t="shared" si="2"/>
        <v>Crítico</v>
      </c>
    </row>
    <row r="33" spans="2:9" ht="18" customHeight="1" x14ac:dyDescent="0.35">
      <c r="B33" s="52">
        <v>11</v>
      </c>
      <c r="C33" s="53">
        <v>2026</v>
      </c>
      <c r="D33" s="54" t="s">
        <v>237</v>
      </c>
      <c r="E33" s="55">
        <v>1082942.308472838</v>
      </c>
      <c r="F33" s="56">
        <f t="shared" si="3"/>
        <v>7.9999999999991901E-3</v>
      </c>
      <c r="G33" s="57">
        <f t="shared" si="0"/>
        <v>0.1</v>
      </c>
      <c r="H33" s="56">
        <f t="shared" si="1"/>
        <v>7.9999999999991897E-2</v>
      </c>
      <c r="I33" s="32" t="str">
        <f t="shared" si="2"/>
        <v>Crítico</v>
      </c>
    </row>
    <row r="34" spans="2:9" ht="18" customHeight="1" x14ac:dyDescent="0.35">
      <c r="B34" s="52">
        <v>12</v>
      </c>
      <c r="C34" s="53">
        <v>2026</v>
      </c>
      <c r="D34" s="54" t="s">
        <v>238</v>
      </c>
      <c r="E34" s="55">
        <v>1091605.846940621</v>
      </c>
      <c r="F34" s="56">
        <f t="shared" si="3"/>
        <v>8.0000000000002864E-3</v>
      </c>
      <c r="G34" s="57">
        <f t="shared" si="0"/>
        <v>0.1</v>
      </c>
      <c r="H34" s="56">
        <f t="shared" si="1"/>
        <v>8.000000000000286E-2</v>
      </c>
      <c r="I34" s="32" t="str">
        <f t="shared" si="2"/>
        <v>Crítico</v>
      </c>
    </row>
    <row r="35" spans="2:9" ht="18" customHeight="1" x14ac:dyDescent="0.35">
      <c r="B35" s="52">
        <v>13</v>
      </c>
      <c r="C35" s="53">
        <v>2027</v>
      </c>
      <c r="D35" s="54" t="s">
        <v>227</v>
      </c>
      <c r="E35" s="55">
        <v>1100338.6937161461</v>
      </c>
      <c r="F35" s="56">
        <f t="shared" si="3"/>
        <v>8.0000000000000435E-3</v>
      </c>
      <c r="G35" s="57">
        <f t="shared" si="0"/>
        <v>0.1</v>
      </c>
      <c r="H35" s="56">
        <f t="shared" si="1"/>
        <v>8.0000000000000432E-2</v>
      </c>
      <c r="I35" s="32" t="str">
        <f t="shared" si="2"/>
        <v>Crítico</v>
      </c>
    </row>
    <row r="36" spans="2:9" ht="18" customHeight="1" x14ac:dyDescent="0.35">
      <c r="B36" s="52">
        <v>14</v>
      </c>
      <c r="C36" s="53">
        <v>2027</v>
      </c>
      <c r="D36" s="54" t="s">
        <v>228</v>
      </c>
      <c r="E36" s="55">
        <v>1109141.403265876</v>
      </c>
      <c r="F36" s="56">
        <f t="shared" si="3"/>
        <v>8.0000000000007062E-3</v>
      </c>
      <c r="G36" s="57">
        <f t="shared" si="0"/>
        <v>0.1</v>
      </c>
      <c r="H36" s="56">
        <f t="shared" si="1"/>
        <v>8.0000000000007052E-2</v>
      </c>
      <c r="I36" s="32" t="str">
        <f t="shared" si="2"/>
        <v>Crítico</v>
      </c>
    </row>
    <row r="37" spans="2:9" ht="18" customHeight="1" x14ac:dyDescent="0.35">
      <c r="B37" s="52">
        <v>15</v>
      </c>
      <c r="C37" s="53">
        <v>2027</v>
      </c>
      <c r="D37" s="54" t="s">
        <v>229</v>
      </c>
      <c r="E37" s="55">
        <v>1118014.534492003</v>
      </c>
      <c r="F37" s="56">
        <f t="shared" si="3"/>
        <v>8.0000000000000245E-3</v>
      </c>
      <c r="G37" s="57">
        <f t="shared" si="0"/>
        <v>0.1</v>
      </c>
      <c r="H37" s="56">
        <f t="shared" si="1"/>
        <v>8.0000000000000238E-2</v>
      </c>
      <c r="I37" s="32" t="str">
        <f t="shared" si="2"/>
        <v>Crítico</v>
      </c>
    </row>
    <row r="38" spans="2:9" ht="18" customHeight="1" x14ac:dyDescent="0.35">
      <c r="B38" s="52">
        <v>16</v>
      </c>
      <c r="C38" s="53">
        <v>2027</v>
      </c>
      <c r="D38" s="54" t="s">
        <v>230</v>
      </c>
      <c r="E38" s="55">
        <v>1126958.6507679389</v>
      </c>
      <c r="F38" s="56">
        <f t="shared" si="3"/>
        <v>7.9999999999998891E-3</v>
      </c>
      <c r="G38" s="57">
        <f t="shared" si="0"/>
        <v>0.1</v>
      </c>
      <c r="H38" s="56">
        <f t="shared" si="1"/>
        <v>7.9999999999998891E-2</v>
      </c>
      <c r="I38" s="32" t="str">
        <f t="shared" si="2"/>
        <v>Crítico</v>
      </c>
    </row>
    <row r="39" spans="2:9" ht="18" customHeight="1" x14ac:dyDescent="0.35">
      <c r="B39" s="52">
        <v>17</v>
      </c>
      <c r="C39" s="53">
        <v>2027</v>
      </c>
      <c r="D39" s="54" t="s">
        <v>231</v>
      </c>
      <c r="E39" s="55">
        <v>1135974.3199740821</v>
      </c>
      <c r="F39" s="56">
        <f t="shared" si="3"/>
        <v>7.9999999999996567E-3</v>
      </c>
      <c r="G39" s="57">
        <f t="shared" si="0"/>
        <v>0.1</v>
      </c>
      <c r="H39" s="56">
        <f t="shared" si="1"/>
        <v>7.999999999999656E-2</v>
      </c>
      <c r="I39" s="32" t="str">
        <f t="shared" si="2"/>
        <v>Crítico</v>
      </c>
    </row>
    <row r="40" spans="2:9" ht="18" customHeight="1" x14ac:dyDescent="0.35">
      <c r="B40" s="52">
        <v>18</v>
      </c>
      <c r="C40" s="53">
        <v>2027</v>
      </c>
      <c r="D40" s="54" t="s">
        <v>232</v>
      </c>
      <c r="E40" s="55">
        <v>1145062.1145338749</v>
      </c>
      <c r="F40" s="56">
        <f t="shared" si="3"/>
        <v>8.0000000000001684E-3</v>
      </c>
      <c r="G40" s="57">
        <f t="shared" si="0"/>
        <v>0.1</v>
      </c>
      <c r="H40" s="56">
        <f t="shared" si="1"/>
        <v>8.0000000000001681E-2</v>
      </c>
      <c r="I40" s="32" t="str">
        <f t="shared" si="2"/>
        <v>Crítico</v>
      </c>
    </row>
    <row r="41" spans="2:9" ht="18" customHeight="1" x14ac:dyDescent="0.35">
      <c r="B41" s="52">
        <v>19</v>
      </c>
      <c r="C41" s="53">
        <v>2027</v>
      </c>
      <c r="D41" s="54" t="s">
        <v>233</v>
      </c>
      <c r="E41" s="55"/>
      <c r="F41" s="56" t="str">
        <f t="shared" si="3"/>
        <v/>
      </c>
      <c r="G41" s="57">
        <f t="shared" si="0"/>
        <v>0.1</v>
      </c>
      <c r="H41" s="56" t="str">
        <f t="shared" si="1"/>
        <v/>
      </c>
      <c r="I41" s="32" t="str">
        <f t="shared" si="2"/>
        <v>Pendiente</v>
      </c>
    </row>
    <row r="42" spans="2:9" ht="18" customHeight="1" x14ac:dyDescent="0.35">
      <c r="B42" s="52">
        <v>20</v>
      </c>
      <c r="C42" s="53">
        <v>2027</v>
      </c>
      <c r="D42" s="54" t="s">
        <v>234</v>
      </c>
      <c r="E42" s="55"/>
      <c r="F42" s="56" t="str">
        <f t="shared" si="3"/>
        <v/>
      </c>
      <c r="G42" s="57">
        <f t="shared" si="0"/>
        <v>0.1</v>
      </c>
      <c r="H42" s="56" t="str">
        <f t="shared" si="1"/>
        <v/>
      </c>
      <c r="I42" s="32" t="str">
        <f t="shared" si="2"/>
        <v>Pendiente</v>
      </c>
    </row>
    <row r="43" spans="2:9" ht="18" customHeight="1" x14ac:dyDescent="0.35">
      <c r="B43" s="52">
        <v>21</v>
      </c>
      <c r="C43" s="53">
        <v>2027</v>
      </c>
      <c r="D43" s="54" t="s">
        <v>235</v>
      </c>
      <c r="E43" s="55"/>
      <c r="F43" s="56" t="str">
        <f t="shared" si="3"/>
        <v/>
      </c>
      <c r="G43" s="57">
        <f t="shared" si="0"/>
        <v>0.1</v>
      </c>
      <c r="H43" s="56" t="str">
        <f t="shared" si="1"/>
        <v/>
      </c>
      <c r="I43" s="32" t="str">
        <f t="shared" si="2"/>
        <v>Pendiente</v>
      </c>
    </row>
    <row r="44" spans="2:9" ht="18" customHeight="1" x14ac:dyDescent="0.35">
      <c r="B44" s="52">
        <v>22</v>
      </c>
      <c r="C44" s="53">
        <v>2027</v>
      </c>
      <c r="D44" s="54" t="s">
        <v>236</v>
      </c>
      <c r="E44" s="55"/>
      <c r="F44" s="56" t="str">
        <f t="shared" si="3"/>
        <v/>
      </c>
      <c r="G44" s="57">
        <f t="shared" si="0"/>
        <v>0.1</v>
      </c>
      <c r="H44" s="56" t="str">
        <f t="shared" si="1"/>
        <v/>
      </c>
      <c r="I44" s="32" t="str">
        <f t="shared" si="2"/>
        <v>Pendiente</v>
      </c>
    </row>
    <row r="45" spans="2:9" ht="18" customHeight="1" x14ac:dyDescent="0.35">
      <c r="B45" s="52">
        <v>23</v>
      </c>
      <c r="C45" s="53">
        <v>2027</v>
      </c>
      <c r="D45" s="54" t="s">
        <v>237</v>
      </c>
      <c r="E45" s="55"/>
      <c r="F45" s="56" t="str">
        <f t="shared" si="3"/>
        <v/>
      </c>
      <c r="G45" s="57">
        <f t="shared" si="0"/>
        <v>0.1</v>
      </c>
      <c r="H45" s="56" t="str">
        <f t="shared" si="1"/>
        <v/>
      </c>
      <c r="I45" s="32" t="str">
        <f t="shared" si="2"/>
        <v>Pendiente</v>
      </c>
    </row>
    <row r="46" spans="2:9" ht="18" customHeight="1" x14ac:dyDescent="0.35">
      <c r="B46" s="52">
        <v>24</v>
      </c>
      <c r="C46" s="53">
        <v>2027</v>
      </c>
      <c r="D46" s="54" t="s">
        <v>238</v>
      </c>
      <c r="E46" s="55"/>
      <c r="F46" s="56" t="str">
        <f t="shared" si="3"/>
        <v/>
      </c>
      <c r="G46" s="57">
        <f t="shared" si="0"/>
        <v>0.1</v>
      </c>
      <c r="H46" s="56" t="str">
        <f t="shared" si="1"/>
        <v/>
      </c>
      <c r="I46" s="32" t="str">
        <f t="shared" si="2"/>
        <v>Pendiente</v>
      </c>
    </row>
    <row r="47" spans="2:9" ht="18" customHeight="1" x14ac:dyDescent="0.35">
      <c r="B47" s="52">
        <v>25</v>
      </c>
      <c r="C47" s="53">
        <v>2028</v>
      </c>
      <c r="D47" s="54" t="s">
        <v>227</v>
      </c>
      <c r="E47" s="55"/>
      <c r="F47" s="56" t="str">
        <f t="shared" si="3"/>
        <v/>
      </c>
      <c r="G47" s="57">
        <f t="shared" si="0"/>
        <v>0.1</v>
      </c>
      <c r="H47" s="56" t="str">
        <f t="shared" si="1"/>
        <v/>
      </c>
      <c r="I47" s="32" t="str">
        <f t="shared" si="2"/>
        <v>Pendiente</v>
      </c>
    </row>
    <row r="48" spans="2:9" ht="18" customHeight="1" x14ac:dyDescent="0.35">
      <c r="B48" s="52">
        <v>26</v>
      </c>
      <c r="C48" s="53">
        <v>2028</v>
      </c>
      <c r="D48" s="54" t="s">
        <v>228</v>
      </c>
      <c r="E48" s="55"/>
      <c r="F48" s="56" t="str">
        <f t="shared" si="3"/>
        <v/>
      </c>
      <c r="G48" s="57">
        <f t="shared" si="0"/>
        <v>0.1</v>
      </c>
      <c r="H48" s="56" t="str">
        <f t="shared" si="1"/>
        <v/>
      </c>
      <c r="I48" s="32" t="str">
        <f t="shared" si="2"/>
        <v>Pendiente</v>
      </c>
    </row>
    <row r="49" spans="2:9" ht="18" customHeight="1" x14ac:dyDescent="0.35">
      <c r="B49" s="52">
        <v>27</v>
      </c>
      <c r="C49" s="53">
        <v>2028</v>
      </c>
      <c r="D49" s="54" t="s">
        <v>229</v>
      </c>
      <c r="E49" s="55"/>
      <c r="F49" s="56" t="str">
        <f t="shared" si="3"/>
        <v/>
      </c>
      <c r="G49" s="57">
        <f t="shared" si="0"/>
        <v>0.1</v>
      </c>
      <c r="H49" s="56" t="str">
        <f t="shared" si="1"/>
        <v/>
      </c>
      <c r="I49" s="32" t="str">
        <f t="shared" si="2"/>
        <v>Pendiente</v>
      </c>
    </row>
    <row r="50" spans="2:9" ht="18" customHeight="1" x14ac:dyDescent="0.35">
      <c r="B50" s="52">
        <v>28</v>
      </c>
      <c r="C50" s="53">
        <v>2028</v>
      </c>
      <c r="D50" s="54" t="s">
        <v>230</v>
      </c>
      <c r="E50" s="55"/>
      <c r="F50" s="56" t="str">
        <f t="shared" si="3"/>
        <v/>
      </c>
      <c r="G50" s="57">
        <f t="shared" si="0"/>
        <v>0.1</v>
      </c>
      <c r="H50" s="56" t="str">
        <f t="shared" si="1"/>
        <v/>
      </c>
      <c r="I50" s="32" t="str">
        <f t="shared" si="2"/>
        <v>Pendiente</v>
      </c>
    </row>
    <row r="51" spans="2:9" ht="18" customHeight="1" x14ac:dyDescent="0.35">
      <c r="B51" s="52">
        <v>29</v>
      </c>
      <c r="C51" s="53">
        <v>2028</v>
      </c>
      <c r="D51" s="54" t="s">
        <v>231</v>
      </c>
      <c r="E51" s="55"/>
      <c r="F51" s="56" t="str">
        <f t="shared" si="3"/>
        <v/>
      </c>
      <c r="G51" s="57">
        <f t="shared" si="0"/>
        <v>0.1</v>
      </c>
      <c r="H51" s="56" t="str">
        <f t="shared" si="1"/>
        <v/>
      </c>
      <c r="I51" s="32" t="str">
        <f t="shared" si="2"/>
        <v>Pendiente</v>
      </c>
    </row>
    <row r="52" spans="2:9" ht="18" customHeight="1" x14ac:dyDescent="0.35">
      <c r="B52" s="52">
        <v>30</v>
      </c>
      <c r="C52" s="53">
        <v>2028</v>
      </c>
      <c r="D52" s="54" t="s">
        <v>232</v>
      </c>
      <c r="E52" s="55"/>
      <c r="F52" s="56" t="str">
        <f t="shared" si="3"/>
        <v/>
      </c>
      <c r="G52" s="57">
        <f t="shared" si="0"/>
        <v>0.1</v>
      </c>
      <c r="H52" s="56" t="str">
        <f t="shared" si="1"/>
        <v/>
      </c>
      <c r="I52" s="32" t="str">
        <f t="shared" si="2"/>
        <v>Pendiente</v>
      </c>
    </row>
    <row r="53" spans="2:9" ht="18" customHeight="1" x14ac:dyDescent="0.35">
      <c r="B53" s="52">
        <v>31</v>
      </c>
      <c r="C53" s="53">
        <v>2028</v>
      </c>
      <c r="D53" s="54" t="s">
        <v>233</v>
      </c>
      <c r="E53" s="55"/>
      <c r="F53" s="56" t="str">
        <f t="shared" si="3"/>
        <v/>
      </c>
      <c r="G53" s="57">
        <f t="shared" si="0"/>
        <v>0.1</v>
      </c>
      <c r="H53" s="56" t="str">
        <f t="shared" si="1"/>
        <v/>
      </c>
      <c r="I53" s="32" t="str">
        <f t="shared" si="2"/>
        <v>Pendiente</v>
      </c>
    </row>
    <row r="54" spans="2:9" ht="18" customHeight="1" x14ac:dyDescent="0.35">
      <c r="B54" s="52">
        <v>32</v>
      </c>
      <c r="C54" s="53">
        <v>2028</v>
      </c>
      <c r="D54" s="54" t="s">
        <v>234</v>
      </c>
      <c r="E54" s="55"/>
      <c r="F54" s="56" t="str">
        <f t="shared" si="3"/>
        <v/>
      </c>
      <c r="G54" s="57">
        <f t="shared" si="0"/>
        <v>0.1</v>
      </c>
      <c r="H54" s="56" t="str">
        <f t="shared" si="1"/>
        <v/>
      </c>
      <c r="I54" s="32" t="str">
        <f t="shared" si="2"/>
        <v>Pendiente</v>
      </c>
    </row>
    <row r="55" spans="2:9" ht="18" customHeight="1" x14ac:dyDescent="0.35">
      <c r="B55" s="52">
        <v>33</v>
      </c>
      <c r="C55" s="53">
        <v>2028</v>
      </c>
      <c r="D55" s="54" t="s">
        <v>235</v>
      </c>
      <c r="E55" s="55"/>
      <c r="F55" s="56" t="str">
        <f t="shared" si="3"/>
        <v/>
      </c>
      <c r="G55" s="57">
        <f t="shared" ref="G55:G82" si="4">IFERROR(VLOOKUP(C55,$B$14:$C$18,2,FALSE()),"")</f>
        <v>0.1</v>
      </c>
      <c r="H55" s="56" t="str">
        <f t="shared" ref="H55:H86" si="5">IFERROR(IF(OR(F55="",NOT(ISNUMBER(G55))),"",F55/G55),"")</f>
        <v/>
      </c>
      <c r="I55" s="32" t="str">
        <f t="shared" ref="I55:I86" si="6">IFERROR(IF(H55="","Pendiente",IF(H55&gt;=0.95,"Cumple",IF(H55&gt;=0.8,"En riesgo","Crítico"))),"Pendiente")</f>
        <v>Pendiente</v>
      </c>
    </row>
    <row r="56" spans="2:9" ht="18" customHeight="1" x14ac:dyDescent="0.35">
      <c r="B56" s="52">
        <v>34</v>
      </c>
      <c r="C56" s="53">
        <v>2028</v>
      </c>
      <c r="D56" s="54" t="s">
        <v>236</v>
      </c>
      <c r="E56" s="55"/>
      <c r="F56" s="56" t="str">
        <f t="shared" ref="F56:F87" si="7">IFERROR(IF(OR(E56="",E55="",E55=0),"",(E56-E55)/E55),"")</f>
        <v/>
      </c>
      <c r="G56" s="57">
        <f t="shared" si="4"/>
        <v>0.1</v>
      </c>
      <c r="H56" s="56" t="str">
        <f t="shared" si="5"/>
        <v/>
      </c>
      <c r="I56" s="32" t="str">
        <f t="shared" si="6"/>
        <v>Pendiente</v>
      </c>
    </row>
    <row r="57" spans="2:9" ht="18" customHeight="1" x14ac:dyDescent="0.35">
      <c r="B57" s="52">
        <v>35</v>
      </c>
      <c r="C57" s="53">
        <v>2028</v>
      </c>
      <c r="D57" s="54" t="s">
        <v>237</v>
      </c>
      <c r="E57" s="55"/>
      <c r="F57" s="56" t="str">
        <f t="shared" si="7"/>
        <v/>
      </c>
      <c r="G57" s="57">
        <f t="shared" si="4"/>
        <v>0.1</v>
      </c>
      <c r="H57" s="56" t="str">
        <f t="shared" si="5"/>
        <v/>
      </c>
      <c r="I57" s="32" t="str">
        <f t="shared" si="6"/>
        <v>Pendiente</v>
      </c>
    </row>
    <row r="58" spans="2:9" ht="18" customHeight="1" x14ac:dyDescent="0.35">
      <c r="B58" s="52">
        <v>36</v>
      </c>
      <c r="C58" s="53">
        <v>2028</v>
      </c>
      <c r="D58" s="54" t="s">
        <v>238</v>
      </c>
      <c r="E58" s="55"/>
      <c r="F58" s="56" t="str">
        <f t="shared" si="7"/>
        <v/>
      </c>
      <c r="G58" s="57">
        <f t="shared" si="4"/>
        <v>0.1</v>
      </c>
      <c r="H58" s="56" t="str">
        <f t="shared" si="5"/>
        <v/>
      </c>
      <c r="I58" s="32" t="str">
        <f t="shared" si="6"/>
        <v>Pendiente</v>
      </c>
    </row>
    <row r="59" spans="2:9" ht="18" customHeight="1" x14ac:dyDescent="0.35">
      <c r="B59" s="52">
        <v>37</v>
      </c>
      <c r="C59" s="53">
        <v>2029</v>
      </c>
      <c r="D59" s="54" t="s">
        <v>227</v>
      </c>
      <c r="E59" s="55"/>
      <c r="F59" s="56" t="str">
        <f t="shared" si="7"/>
        <v/>
      </c>
      <c r="G59" s="57">
        <f t="shared" si="4"/>
        <v>0.1</v>
      </c>
      <c r="H59" s="56" t="str">
        <f t="shared" si="5"/>
        <v/>
      </c>
      <c r="I59" s="32" t="str">
        <f t="shared" si="6"/>
        <v>Pendiente</v>
      </c>
    </row>
    <row r="60" spans="2:9" ht="18" customHeight="1" x14ac:dyDescent="0.35">
      <c r="B60" s="52">
        <v>38</v>
      </c>
      <c r="C60" s="53">
        <v>2029</v>
      </c>
      <c r="D60" s="54" t="s">
        <v>228</v>
      </c>
      <c r="E60" s="55"/>
      <c r="F60" s="56" t="str">
        <f t="shared" si="7"/>
        <v/>
      </c>
      <c r="G60" s="57">
        <f t="shared" si="4"/>
        <v>0.1</v>
      </c>
      <c r="H60" s="56" t="str">
        <f t="shared" si="5"/>
        <v/>
      </c>
      <c r="I60" s="32" t="str">
        <f t="shared" si="6"/>
        <v>Pendiente</v>
      </c>
    </row>
    <row r="61" spans="2:9" ht="18" customHeight="1" x14ac:dyDescent="0.35">
      <c r="B61" s="52">
        <v>39</v>
      </c>
      <c r="C61" s="53">
        <v>2029</v>
      </c>
      <c r="D61" s="54" t="s">
        <v>229</v>
      </c>
      <c r="E61" s="55"/>
      <c r="F61" s="56" t="str">
        <f t="shared" si="7"/>
        <v/>
      </c>
      <c r="G61" s="57">
        <f t="shared" si="4"/>
        <v>0.1</v>
      </c>
      <c r="H61" s="56" t="str">
        <f t="shared" si="5"/>
        <v/>
      </c>
      <c r="I61" s="32" t="str">
        <f t="shared" si="6"/>
        <v>Pendiente</v>
      </c>
    </row>
    <row r="62" spans="2:9" ht="18" customHeight="1" x14ac:dyDescent="0.35">
      <c r="B62" s="52">
        <v>40</v>
      </c>
      <c r="C62" s="53">
        <v>2029</v>
      </c>
      <c r="D62" s="54" t="s">
        <v>230</v>
      </c>
      <c r="E62" s="55"/>
      <c r="F62" s="56" t="str">
        <f t="shared" si="7"/>
        <v/>
      </c>
      <c r="G62" s="57">
        <f t="shared" si="4"/>
        <v>0.1</v>
      </c>
      <c r="H62" s="56" t="str">
        <f t="shared" si="5"/>
        <v/>
      </c>
      <c r="I62" s="32" t="str">
        <f t="shared" si="6"/>
        <v>Pendiente</v>
      </c>
    </row>
    <row r="63" spans="2:9" ht="18" customHeight="1" x14ac:dyDescent="0.35">
      <c r="B63" s="52">
        <v>41</v>
      </c>
      <c r="C63" s="53">
        <v>2029</v>
      </c>
      <c r="D63" s="54" t="s">
        <v>231</v>
      </c>
      <c r="E63" s="55"/>
      <c r="F63" s="56" t="str">
        <f t="shared" si="7"/>
        <v/>
      </c>
      <c r="G63" s="57">
        <f t="shared" si="4"/>
        <v>0.1</v>
      </c>
      <c r="H63" s="56" t="str">
        <f t="shared" si="5"/>
        <v/>
      </c>
      <c r="I63" s="32" t="str">
        <f t="shared" si="6"/>
        <v>Pendiente</v>
      </c>
    </row>
    <row r="64" spans="2:9" ht="18" customHeight="1" x14ac:dyDescent="0.35">
      <c r="B64" s="52">
        <v>42</v>
      </c>
      <c r="C64" s="53">
        <v>2029</v>
      </c>
      <c r="D64" s="54" t="s">
        <v>232</v>
      </c>
      <c r="E64" s="55"/>
      <c r="F64" s="56" t="str">
        <f t="shared" si="7"/>
        <v/>
      </c>
      <c r="G64" s="57">
        <f t="shared" si="4"/>
        <v>0.1</v>
      </c>
      <c r="H64" s="56" t="str">
        <f t="shared" si="5"/>
        <v/>
      </c>
      <c r="I64" s="32" t="str">
        <f t="shared" si="6"/>
        <v>Pendiente</v>
      </c>
    </row>
    <row r="65" spans="2:9" ht="18" customHeight="1" x14ac:dyDescent="0.35">
      <c r="B65" s="52">
        <v>43</v>
      </c>
      <c r="C65" s="53">
        <v>2029</v>
      </c>
      <c r="D65" s="54" t="s">
        <v>233</v>
      </c>
      <c r="E65" s="55"/>
      <c r="F65" s="56" t="str">
        <f t="shared" si="7"/>
        <v/>
      </c>
      <c r="G65" s="57">
        <f t="shared" si="4"/>
        <v>0.1</v>
      </c>
      <c r="H65" s="56" t="str">
        <f t="shared" si="5"/>
        <v/>
      </c>
      <c r="I65" s="32" t="str">
        <f t="shared" si="6"/>
        <v>Pendiente</v>
      </c>
    </row>
    <row r="66" spans="2:9" ht="18" customHeight="1" x14ac:dyDescent="0.35">
      <c r="B66" s="52">
        <v>44</v>
      </c>
      <c r="C66" s="53">
        <v>2029</v>
      </c>
      <c r="D66" s="54" t="s">
        <v>234</v>
      </c>
      <c r="E66" s="55"/>
      <c r="F66" s="56" t="str">
        <f t="shared" si="7"/>
        <v/>
      </c>
      <c r="G66" s="57">
        <f t="shared" si="4"/>
        <v>0.1</v>
      </c>
      <c r="H66" s="56" t="str">
        <f t="shared" si="5"/>
        <v/>
      </c>
      <c r="I66" s="32" t="str">
        <f t="shared" si="6"/>
        <v>Pendiente</v>
      </c>
    </row>
    <row r="67" spans="2:9" ht="18" customHeight="1" x14ac:dyDescent="0.35">
      <c r="B67" s="52">
        <v>45</v>
      </c>
      <c r="C67" s="53">
        <v>2029</v>
      </c>
      <c r="D67" s="54" t="s">
        <v>235</v>
      </c>
      <c r="E67" s="55"/>
      <c r="F67" s="56" t="str">
        <f t="shared" si="7"/>
        <v/>
      </c>
      <c r="G67" s="57">
        <f t="shared" si="4"/>
        <v>0.1</v>
      </c>
      <c r="H67" s="56" t="str">
        <f t="shared" si="5"/>
        <v/>
      </c>
      <c r="I67" s="32" t="str">
        <f t="shared" si="6"/>
        <v>Pendiente</v>
      </c>
    </row>
    <row r="68" spans="2:9" ht="18" customHeight="1" x14ac:dyDescent="0.35">
      <c r="B68" s="52">
        <v>46</v>
      </c>
      <c r="C68" s="53">
        <v>2029</v>
      </c>
      <c r="D68" s="54" t="s">
        <v>236</v>
      </c>
      <c r="E68" s="55"/>
      <c r="F68" s="56" t="str">
        <f t="shared" si="7"/>
        <v/>
      </c>
      <c r="G68" s="57">
        <f t="shared" si="4"/>
        <v>0.1</v>
      </c>
      <c r="H68" s="56" t="str">
        <f t="shared" si="5"/>
        <v/>
      </c>
      <c r="I68" s="32" t="str">
        <f t="shared" si="6"/>
        <v>Pendiente</v>
      </c>
    </row>
    <row r="69" spans="2:9" ht="18" customHeight="1" x14ac:dyDescent="0.35">
      <c r="B69" s="52">
        <v>47</v>
      </c>
      <c r="C69" s="53">
        <v>2029</v>
      </c>
      <c r="D69" s="54" t="s">
        <v>237</v>
      </c>
      <c r="E69" s="55"/>
      <c r="F69" s="56" t="str">
        <f t="shared" si="7"/>
        <v/>
      </c>
      <c r="G69" s="57">
        <f t="shared" si="4"/>
        <v>0.1</v>
      </c>
      <c r="H69" s="56" t="str">
        <f t="shared" si="5"/>
        <v/>
      </c>
      <c r="I69" s="32" t="str">
        <f t="shared" si="6"/>
        <v>Pendiente</v>
      </c>
    </row>
    <row r="70" spans="2:9" ht="18" customHeight="1" x14ac:dyDescent="0.35">
      <c r="B70" s="52">
        <v>48</v>
      </c>
      <c r="C70" s="53">
        <v>2029</v>
      </c>
      <c r="D70" s="54" t="s">
        <v>238</v>
      </c>
      <c r="E70" s="55"/>
      <c r="F70" s="56" t="str">
        <f t="shared" si="7"/>
        <v/>
      </c>
      <c r="G70" s="57">
        <f t="shared" si="4"/>
        <v>0.1</v>
      </c>
      <c r="H70" s="56" t="str">
        <f t="shared" si="5"/>
        <v/>
      </c>
      <c r="I70" s="32" t="str">
        <f t="shared" si="6"/>
        <v>Pendiente</v>
      </c>
    </row>
    <row r="71" spans="2:9" ht="18" customHeight="1" x14ac:dyDescent="0.35">
      <c r="B71" s="52">
        <v>49</v>
      </c>
      <c r="C71" s="53">
        <v>2030</v>
      </c>
      <c r="D71" s="54" t="s">
        <v>227</v>
      </c>
      <c r="E71" s="55"/>
      <c r="F71" s="56" t="str">
        <f t="shared" si="7"/>
        <v/>
      </c>
      <c r="G71" s="57">
        <f t="shared" si="4"/>
        <v>0.1</v>
      </c>
      <c r="H71" s="56" t="str">
        <f t="shared" si="5"/>
        <v/>
      </c>
      <c r="I71" s="32" t="str">
        <f t="shared" si="6"/>
        <v>Pendiente</v>
      </c>
    </row>
    <row r="72" spans="2:9" ht="18" customHeight="1" x14ac:dyDescent="0.35">
      <c r="B72" s="52">
        <v>50</v>
      </c>
      <c r="C72" s="53">
        <v>2030</v>
      </c>
      <c r="D72" s="54" t="s">
        <v>228</v>
      </c>
      <c r="E72" s="55"/>
      <c r="F72" s="56" t="str">
        <f t="shared" si="7"/>
        <v/>
      </c>
      <c r="G72" s="57">
        <f t="shared" si="4"/>
        <v>0.1</v>
      </c>
      <c r="H72" s="56" t="str">
        <f t="shared" si="5"/>
        <v/>
      </c>
      <c r="I72" s="32" t="str">
        <f t="shared" si="6"/>
        <v>Pendiente</v>
      </c>
    </row>
    <row r="73" spans="2:9" ht="18" customHeight="1" x14ac:dyDescent="0.35">
      <c r="B73" s="52">
        <v>51</v>
      </c>
      <c r="C73" s="53">
        <v>2030</v>
      </c>
      <c r="D73" s="54" t="s">
        <v>229</v>
      </c>
      <c r="E73" s="55"/>
      <c r="F73" s="56" t="str">
        <f t="shared" si="7"/>
        <v/>
      </c>
      <c r="G73" s="57">
        <f t="shared" si="4"/>
        <v>0.1</v>
      </c>
      <c r="H73" s="56" t="str">
        <f t="shared" si="5"/>
        <v/>
      </c>
      <c r="I73" s="32" t="str">
        <f t="shared" si="6"/>
        <v>Pendiente</v>
      </c>
    </row>
    <row r="74" spans="2:9" ht="18" customHeight="1" x14ac:dyDescent="0.35">
      <c r="B74" s="52">
        <v>52</v>
      </c>
      <c r="C74" s="53">
        <v>2030</v>
      </c>
      <c r="D74" s="54" t="s">
        <v>230</v>
      </c>
      <c r="E74" s="55"/>
      <c r="F74" s="56" t="str">
        <f t="shared" si="7"/>
        <v/>
      </c>
      <c r="G74" s="57">
        <f t="shared" si="4"/>
        <v>0.1</v>
      </c>
      <c r="H74" s="56" t="str">
        <f t="shared" si="5"/>
        <v/>
      </c>
      <c r="I74" s="32" t="str">
        <f t="shared" si="6"/>
        <v>Pendiente</v>
      </c>
    </row>
    <row r="75" spans="2:9" ht="18" customHeight="1" x14ac:dyDescent="0.35">
      <c r="B75" s="52">
        <v>53</v>
      </c>
      <c r="C75" s="53">
        <v>2030</v>
      </c>
      <c r="D75" s="54" t="s">
        <v>231</v>
      </c>
      <c r="E75" s="55"/>
      <c r="F75" s="56" t="str">
        <f t="shared" si="7"/>
        <v/>
      </c>
      <c r="G75" s="57">
        <f t="shared" si="4"/>
        <v>0.1</v>
      </c>
      <c r="H75" s="56" t="str">
        <f t="shared" si="5"/>
        <v/>
      </c>
      <c r="I75" s="32" t="str">
        <f t="shared" si="6"/>
        <v>Pendiente</v>
      </c>
    </row>
    <row r="76" spans="2:9" ht="18" customHeight="1" x14ac:dyDescent="0.35">
      <c r="B76" s="52">
        <v>54</v>
      </c>
      <c r="C76" s="53">
        <v>2030</v>
      </c>
      <c r="D76" s="54" t="s">
        <v>232</v>
      </c>
      <c r="E76" s="55"/>
      <c r="F76" s="56" t="str">
        <f t="shared" si="7"/>
        <v/>
      </c>
      <c r="G76" s="57">
        <f t="shared" si="4"/>
        <v>0.1</v>
      </c>
      <c r="H76" s="56" t="str">
        <f t="shared" si="5"/>
        <v/>
      </c>
      <c r="I76" s="32" t="str">
        <f t="shared" si="6"/>
        <v>Pendiente</v>
      </c>
    </row>
    <row r="77" spans="2:9" ht="18" customHeight="1" x14ac:dyDescent="0.35">
      <c r="B77" s="52">
        <v>55</v>
      </c>
      <c r="C77" s="53">
        <v>2030</v>
      </c>
      <c r="D77" s="54" t="s">
        <v>233</v>
      </c>
      <c r="E77" s="55"/>
      <c r="F77" s="56" t="str">
        <f t="shared" si="7"/>
        <v/>
      </c>
      <c r="G77" s="57">
        <f t="shared" si="4"/>
        <v>0.1</v>
      </c>
      <c r="H77" s="56" t="str">
        <f t="shared" si="5"/>
        <v/>
      </c>
      <c r="I77" s="32" t="str">
        <f t="shared" si="6"/>
        <v>Pendiente</v>
      </c>
    </row>
    <row r="78" spans="2:9" ht="18" customHeight="1" x14ac:dyDescent="0.35">
      <c r="B78" s="52">
        <v>56</v>
      </c>
      <c r="C78" s="53">
        <v>2030</v>
      </c>
      <c r="D78" s="54" t="s">
        <v>234</v>
      </c>
      <c r="E78" s="55"/>
      <c r="F78" s="56" t="str">
        <f t="shared" si="7"/>
        <v/>
      </c>
      <c r="G78" s="57">
        <f t="shared" si="4"/>
        <v>0.1</v>
      </c>
      <c r="H78" s="56" t="str">
        <f t="shared" si="5"/>
        <v/>
      </c>
      <c r="I78" s="32" t="str">
        <f t="shared" si="6"/>
        <v>Pendiente</v>
      </c>
    </row>
    <row r="79" spans="2:9" ht="18" customHeight="1" x14ac:dyDescent="0.35">
      <c r="B79" s="52">
        <v>57</v>
      </c>
      <c r="C79" s="53">
        <v>2030</v>
      </c>
      <c r="D79" s="54" t="s">
        <v>235</v>
      </c>
      <c r="E79" s="55"/>
      <c r="F79" s="56" t="str">
        <f t="shared" si="7"/>
        <v/>
      </c>
      <c r="G79" s="57">
        <f t="shared" si="4"/>
        <v>0.1</v>
      </c>
      <c r="H79" s="56" t="str">
        <f t="shared" si="5"/>
        <v/>
      </c>
      <c r="I79" s="32" t="str">
        <f t="shared" si="6"/>
        <v>Pendiente</v>
      </c>
    </row>
    <row r="80" spans="2:9" ht="18" customHeight="1" x14ac:dyDescent="0.35">
      <c r="B80" s="52">
        <v>58</v>
      </c>
      <c r="C80" s="53">
        <v>2030</v>
      </c>
      <c r="D80" s="54" t="s">
        <v>236</v>
      </c>
      <c r="E80" s="55"/>
      <c r="F80" s="56" t="str">
        <f t="shared" si="7"/>
        <v/>
      </c>
      <c r="G80" s="57">
        <f t="shared" si="4"/>
        <v>0.1</v>
      </c>
      <c r="H80" s="56" t="str">
        <f t="shared" si="5"/>
        <v/>
      </c>
      <c r="I80" s="32" t="str">
        <f t="shared" si="6"/>
        <v>Pendiente</v>
      </c>
    </row>
    <row r="81" spans="2:9" ht="18" customHeight="1" x14ac:dyDescent="0.35">
      <c r="B81" s="52">
        <v>59</v>
      </c>
      <c r="C81" s="53">
        <v>2030</v>
      </c>
      <c r="D81" s="54" t="s">
        <v>237</v>
      </c>
      <c r="E81" s="55"/>
      <c r="F81" s="56" t="str">
        <f t="shared" si="7"/>
        <v/>
      </c>
      <c r="G81" s="57">
        <f t="shared" si="4"/>
        <v>0.1</v>
      </c>
      <c r="H81" s="56" t="str">
        <f t="shared" si="5"/>
        <v/>
      </c>
      <c r="I81" s="32" t="str">
        <f t="shared" si="6"/>
        <v>Pendiente</v>
      </c>
    </row>
    <row r="82" spans="2:9" ht="18" customHeight="1" x14ac:dyDescent="0.35">
      <c r="B82" s="52">
        <v>60</v>
      </c>
      <c r="C82" s="53">
        <v>2030</v>
      </c>
      <c r="D82" s="54" t="s">
        <v>238</v>
      </c>
      <c r="E82" s="55"/>
      <c r="F82" s="56" t="str">
        <f t="shared" si="7"/>
        <v/>
      </c>
      <c r="G82" s="57">
        <f t="shared" si="4"/>
        <v>0.1</v>
      </c>
      <c r="H82" s="56" t="str">
        <f t="shared" si="5"/>
        <v/>
      </c>
      <c r="I82" s="32" t="str">
        <f t="shared" si="6"/>
        <v>Pendiente</v>
      </c>
    </row>
  </sheetData>
  <mergeCells count="29">
    <mergeCell ref="E16:I16"/>
    <mergeCell ref="B5:C5"/>
    <mergeCell ref="B20:I20"/>
    <mergeCell ref="C13:D13"/>
    <mergeCell ref="C18:D18"/>
    <mergeCell ref="E18:I18"/>
    <mergeCell ref="E17:I17"/>
    <mergeCell ref="B12:I12"/>
    <mergeCell ref="B21:I21"/>
    <mergeCell ref="C16:D16"/>
    <mergeCell ref="B2:I2"/>
    <mergeCell ref="D9:I9"/>
    <mergeCell ref="E13:I13"/>
    <mergeCell ref="B8:C8"/>
    <mergeCell ref="D8:I8"/>
    <mergeCell ref="E15:I15"/>
    <mergeCell ref="D5:I5"/>
    <mergeCell ref="B10:C10"/>
    <mergeCell ref="B9:C9"/>
    <mergeCell ref="C17:D17"/>
    <mergeCell ref="B6:C6"/>
    <mergeCell ref="D10:I10"/>
    <mergeCell ref="B7:C7"/>
    <mergeCell ref="C15:D15"/>
    <mergeCell ref="B3:I3"/>
    <mergeCell ref="C14:D14"/>
    <mergeCell ref="E14:I14"/>
    <mergeCell ref="D7:I7"/>
    <mergeCell ref="D6:I6"/>
  </mergeCells>
  <conditionalFormatting sqref="H23:H82">
    <cfRule type="expression" dxfId="167" priority="2">
      <formula>AND(ISNUMBER(H23),H23&gt;=0.95)</formula>
    </cfRule>
    <cfRule type="expression" dxfId="166" priority="3">
      <formula>AND(ISNUMBER(H23),H23&gt;=0.8,H23&lt;0.95)</formula>
    </cfRule>
    <cfRule type="expression" dxfId="165" priority="4">
      <formula>AND(ISNUMBER(H23),H23&lt;0.8)</formula>
    </cfRule>
  </conditionalFormatting>
  <conditionalFormatting sqref="I23:I82">
    <cfRule type="expression" dxfId="164" priority="5">
      <formula>I23="Cumple"</formula>
    </cfRule>
    <cfRule type="expression" dxfId="163" priority="6">
      <formula>I23="En riesgo"</formula>
    </cfRule>
    <cfRule type="expression" dxfId="162" priority="7">
      <formula>I23="Crítico"</formula>
    </cfRule>
    <cfRule type="expression" dxfId="161" priority="8">
      <formula>I23="Pendiente"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6FB2"/>
  </sheetPr>
  <dimension ref="B2:I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5" width="22" customWidth="1"/>
    <col min="6" max="6" width="15" customWidth="1"/>
    <col min="7" max="7" width="12" customWidth="1"/>
    <col min="8" max="9" width="13" customWidth="1"/>
  </cols>
  <sheetData>
    <row r="2" spans="2:9" ht="27.75" customHeight="1" x14ac:dyDescent="0.35">
      <c r="B2" s="97" t="s">
        <v>241</v>
      </c>
      <c r="C2" s="72"/>
      <c r="D2" s="72"/>
      <c r="E2" s="72"/>
      <c r="F2" s="72"/>
      <c r="G2" s="72"/>
      <c r="H2" s="72"/>
      <c r="I2" s="72"/>
    </row>
    <row r="3" spans="2:9" ht="18" customHeight="1" x14ac:dyDescent="0.35">
      <c r="B3" s="94" t="s">
        <v>213</v>
      </c>
      <c r="C3" s="72"/>
      <c r="D3" s="72"/>
      <c r="E3" s="72"/>
      <c r="F3" s="72"/>
      <c r="G3" s="72"/>
      <c r="H3" s="72"/>
      <c r="I3" s="72"/>
    </row>
    <row r="5" spans="2:9" ht="25.5" customHeight="1" x14ac:dyDescent="0.35">
      <c r="B5" s="88" t="s">
        <v>113</v>
      </c>
      <c r="C5" s="81"/>
      <c r="D5" s="89" t="s">
        <v>143</v>
      </c>
      <c r="E5" s="80"/>
      <c r="F5" s="80"/>
      <c r="G5" s="80"/>
      <c r="H5" s="80"/>
      <c r="I5" s="81"/>
    </row>
    <row r="6" spans="2:9" ht="25.5" customHeight="1" x14ac:dyDescent="0.35">
      <c r="B6" s="88" t="s">
        <v>114</v>
      </c>
      <c r="C6" s="81"/>
      <c r="D6" s="89" t="s">
        <v>144</v>
      </c>
      <c r="E6" s="80"/>
      <c r="F6" s="80"/>
      <c r="G6" s="80"/>
      <c r="H6" s="80"/>
      <c r="I6" s="81"/>
    </row>
    <row r="7" spans="2:9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1"/>
    </row>
    <row r="8" spans="2:9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1"/>
    </row>
    <row r="9" spans="2:9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1"/>
    </row>
    <row r="10" spans="2:9" ht="19.5" customHeight="1" x14ac:dyDescent="0.35">
      <c r="B10" s="88" t="s">
        <v>117</v>
      </c>
      <c r="C10" s="81"/>
      <c r="D10" s="93" t="str">
        <f>VLOOKUP("IND-03",Parámetros!$B$6:$F$30,5,FALSE())</f>
        <v>Cartera</v>
      </c>
      <c r="E10" s="80"/>
      <c r="F10" s="80"/>
      <c r="G10" s="80"/>
      <c r="H10" s="80"/>
      <c r="I10" s="81"/>
    </row>
    <row r="12" spans="2:9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</row>
    <row r="13" spans="2:9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1"/>
    </row>
    <row r="14" spans="2:9" ht="19.5" customHeight="1" x14ac:dyDescent="0.35">
      <c r="B14" s="51">
        <v>2026</v>
      </c>
      <c r="C14" s="91">
        <v>3.5000000000000003E-2</v>
      </c>
      <c r="D14" s="81"/>
      <c r="E14" s="92"/>
      <c r="F14" s="80"/>
      <c r="G14" s="80"/>
      <c r="H14" s="80"/>
      <c r="I14" s="80"/>
    </row>
    <row r="15" spans="2:9" ht="19.5" customHeight="1" x14ac:dyDescent="0.35">
      <c r="B15" s="51">
        <v>2027</v>
      </c>
      <c r="C15" s="91">
        <v>3.5000000000000003E-2</v>
      </c>
      <c r="D15" s="81"/>
      <c r="E15" s="92"/>
      <c r="F15" s="80"/>
      <c r="G15" s="80"/>
      <c r="H15" s="80"/>
      <c r="I15" s="80"/>
    </row>
    <row r="16" spans="2:9" ht="19.5" customHeight="1" x14ac:dyDescent="0.35">
      <c r="B16" s="51">
        <v>2028</v>
      </c>
      <c r="C16" s="91">
        <v>3.5000000000000003E-2</v>
      </c>
      <c r="D16" s="81"/>
      <c r="E16" s="92"/>
      <c r="F16" s="80"/>
      <c r="G16" s="80"/>
      <c r="H16" s="80"/>
      <c r="I16" s="80"/>
    </row>
    <row r="17" spans="2:9" ht="19.5" customHeight="1" x14ac:dyDescent="0.35">
      <c r="B17" s="51">
        <v>2029</v>
      </c>
      <c r="C17" s="91">
        <v>3.5000000000000003E-2</v>
      </c>
      <c r="D17" s="81"/>
      <c r="E17" s="92"/>
      <c r="F17" s="80"/>
      <c r="G17" s="80"/>
      <c r="H17" s="80"/>
      <c r="I17" s="80"/>
    </row>
    <row r="18" spans="2:9" ht="19.5" customHeight="1" x14ac:dyDescent="0.35">
      <c r="B18" s="51">
        <v>2030</v>
      </c>
      <c r="C18" s="91">
        <v>3.5000000000000003E-2</v>
      </c>
      <c r="D18" s="81"/>
      <c r="E18" s="92"/>
      <c r="F18" s="80"/>
      <c r="G18" s="80"/>
      <c r="H18" s="80"/>
      <c r="I18" s="80"/>
    </row>
    <row r="20" spans="2:9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</row>
    <row r="21" spans="2:9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</row>
    <row r="22" spans="2:9" ht="30" customHeight="1" x14ac:dyDescent="0.35">
      <c r="B22" s="21" t="s">
        <v>220</v>
      </c>
      <c r="C22" s="21" t="s">
        <v>208</v>
      </c>
      <c r="D22" s="21" t="s">
        <v>209</v>
      </c>
      <c r="E22" s="21" t="s">
        <v>242</v>
      </c>
      <c r="F22" s="21" t="s">
        <v>223</v>
      </c>
      <c r="G22" s="21" t="s">
        <v>224</v>
      </c>
      <c r="H22" s="21" t="s">
        <v>225</v>
      </c>
      <c r="I22" s="21" t="s">
        <v>226</v>
      </c>
    </row>
    <row r="23" spans="2:9" ht="18" customHeight="1" x14ac:dyDescent="0.35">
      <c r="B23" s="52">
        <v>1</v>
      </c>
      <c r="C23" s="53">
        <v>2026</v>
      </c>
      <c r="D23" s="54" t="s">
        <v>227</v>
      </c>
      <c r="E23" s="55"/>
      <c r="F23" s="56"/>
      <c r="G23" s="57">
        <f t="shared" ref="G23:G54" si="0">IFERROR(VLOOKUP(C23,$B$14:$C$18,2,FALSE()),"")</f>
        <v>3.5000000000000003E-2</v>
      </c>
      <c r="H23" s="56" t="str">
        <f t="shared" ref="H23:H54" si="1">IFERROR(IF(OR(F23="",NOT(ISNUMBER(G23))),"",F23/G23),"")</f>
        <v/>
      </c>
      <c r="I23" s="32" t="str">
        <f t="shared" ref="I23:I54" si="2">IFERROR(IF(H23="","Pendiente",IF(H23&gt;=0.95,"Cumple",IF(H23&gt;=0.8,"En riesgo","Crítico"))),"Pendiente")</f>
        <v>Pendiente</v>
      </c>
    </row>
    <row r="24" spans="2:9" ht="18" customHeight="1" x14ac:dyDescent="0.35">
      <c r="B24" s="52">
        <v>2</v>
      </c>
      <c r="C24" s="53">
        <v>2026</v>
      </c>
      <c r="D24" s="54" t="s">
        <v>228</v>
      </c>
      <c r="E24" s="55"/>
      <c r="F24" s="56" t="str">
        <f t="shared" ref="F24:F55" si="3">IFERROR(IF(OR(E24="",E23="",E23=0),"",(E24-E23)/E23),"")</f>
        <v/>
      </c>
      <c r="G24" s="57">
        <f t="shared" si="0"/>
        <v>3.5000000000000003E-2</v>
      </c>
      <c r="H24" s="56" t="str">
        <f t="shared" si="1"/>
        <v/>
      </c>
      <c r="I24" s="32" t="str">
        <f t="shared" si="2"/>
        <v>Pendiente</v>
      </c>
    </row>
    <row r="25" spans="2:9" ht="18" customHeight="1" x14ac:dyDescent="0.35">
      <c r="B25" s="52">
        <v>3</v>
      </c>
      <c r="C25" s="53">
        <v>2026</v>
      </c>
      <c r="D25" s="54" t="s">
        <v>229</v>
      </c>
      <c r="E25" s="55"/>
      <c r="F25" s="56" t="str">
        <f t="shared" si="3"/>
        <v/>
      </c>
      <c r="G25" s="57">
        <f t="shared" si="0"/>
        <v>3.5000000000000003E-2</v>
      </c>
      <c r="H25" s="56" t="str">
        <f t="shared" si="1"/>
        <v/>
      </c>
      <c r="I25" s="32" t="str">
        <f t="shared" si="2"/>
        <v>Pendiente</v>
      </c>
    </row>
    <row r="26" spans="2:9" ht="18" customHeight="1" x14ac:dyDescent="0.35">
      <c r="B26" s="52">
        <v>4</v>
      </c>
      <c r="C26" s="53">
        <v>2026</v>
      </c>
      <c r="D26" s="54" t="s">
        <v>230</v>
      </c>
      <c r="E26" s="55"/>
      <c r="F26" s="56" t="str">
        <f t="shared" si="3"/>
        <v/>
      </c>
      <c r="G26" s="57">
        <f t="shared" si="0"/>
        <v>3.5000000000000003E-2</v>
      </c>
      <c r="H26" s="56" t="str">
        <f t="shared" si="1"/>
        <v/>
      </c>
      <c r="I26" s="32" t="str">
        <f t="shared" si="2"/>
        <v>Pendiente</v>
      </c>
    </row>
    <row r="27" spans="2:9" ht="18" customHeight="1" x14ac:dyDescent="0.35">
      <c r="B27" s="52">
        <v>5</v>
      </c>
      <c r="C27" s="53">
        <v>2026</v>
      </c>
      <c r="D27" s="54" t="s">
        <v>231</v>
      </c>
      <c r="E27" s="55"/>
      <c r="F27" s="56" t="str">
        <f t="shared" si="3"/>
        <v/>
      </c>
      <c r="G27" s="57">
        <f t="shared" si="0"/>
        <v>3.5000000000000003E-2</v>
      </c>
      <c r="H27" s="56" t="str">
        <f t="shared" si="1"/>
        <v/>
      </c>
      <c r="I27" s="32" t="str">
        <f t="shared" si="2"/>
        <v>Pendiente</v>
      </c>
    </row>
    <row r="28" spans="2:9" ht="18" customHeight="1" x14ac:dyDescent="0.35">
      <c r="B28" s="52">
        <v>6</v>
      </c>
      <c r="C28" s="53">
        <v>2026</v>
      </c>
      <c r="D28" s="54" t="s">
        <v>232</v>
      </c>
      <c r="E28" s="55"/>
      <c r="F28" s="56" t="str">
        <f t="shared" si="3"/>
        <v/>
      </c>
      <c r="G28" s="57">
        <f t="shared" si="0"/>
        <v>3.5000000000000003E-2</v>
      </c>
      <c r="H28" s="56" t="str">
        <f t="shared" si="1"/>
        <v/>
      </c>
      <c r="I28" s="32" t="str">
        <f t="shared" si="2"/>
        <v>Pendiente</v>
      </c>
    </row>
    <row r="29" spans="2:9" ht="18" customHeight="1" x14ac:dyDescent="0.35">
      <c r="B29" s="52">
        <v>7</v>
      </c>
      <c r="C29" s="53">
        <v>2026</v>
      </c>
      <c r="D29" s="54" t="s">
        <v>233</v>
      </c>
      <c r="E29" s="55"/>
      <c r="F29" s="56" t="str">
        <f t="shared" si="3"/>
        <v/>
      </c>
      <c r="G29" s="57">
        <f t="shared" si="0"/>
        <v>3.5000000000000003E-2</v>
      </c>
      <c r="H29" s="56" t="str">
        <f t="shared" si="1"/>
        <v/>
      </c>
      <c r="I29" s="32" t="str">
        <f t="shared" si="2"/>
        <v>Pendiente</v>
      </c>
    </row>
    <row r="30" spans="2:9" ht="18" customHeight="1" x14ac:dyDescent="0.35">
      <c r="B30" s="52">
        <v>8</v>
      </c>
      <c r="C30" s="53">
        <v>2026</v>
      </c>
      <c r="D30" s="54" t="s">
        <v>234</v>
      </c>
      <c r="E30" s="55"/>
      <c r="F30" s="56" t="str">
        <f t="shared" si="3"/>
        <v/>
      </c>
      <c r="G30" s="57">
        <f t="shared" si="0"/>
        <v>3.5000000000000003E-2</v>
      </c>
      <c r="H30" s="56" t="str">
        <f t="shared" si="1"/>
        <v/>
      </c>
      <c r="I30" s="32" t="str">
        <f t="shared" si="2"/>
        <v>Pendiente</v>
      </c>
    </row>
    <row r="31" spans="2:9" ht="18" customHeight="1" x14ac:dyDescent="0.35">
      <c r="B31" s="52">
        <v>9</v>
      </c>
      <c r="C31" s="53">
        <v>2026</v>
      </c>
      <c r="D31" s="54" t="s">
        <v>235</v>
      </c>
      <c r="E31" s="55"/>
      <c r="F31" s="56" t="str">
        <f t="shared" si="3"/>
        <v/>
      </c>
      <c r="G31" s="57">
        <f t="shared" si="0"/>
        <v>3.5000000000000003E-2</v>
      </c>
      <c r="H31" s="56" t="str">
        <f t="shared" si="1"/>
        <v/>
      </c>
      <c r="I31" s="32" t="str">
        <f t="shared" si="2"/>
        <v>Pendiente</v>
      </c>
    </row>
    <row r="32" spans="2:9" ht="18" customHeight="1" x14ac:dyDescent="0.35">
      <c r="B32" s="52">
        <v>10</v>
      </c>
      <c r="C32" s="53">
        <v>2026</v>
      </c>
      <c r="D32" s="54" t="s">
        <v>236</v>
      </c>
      <c r="E32" s="55"/>
      <c r="F32" s="56" t="str">
        <f t="shared" si="3"/>
        <v/>
      </c>
      <c r="G32" s="57">
        <f t="shared" si="0"/>
        <v>3.5000000000000003E-2</v>
      </c>
      <c r="H32" s="56" t="str">
        <f t="shared" si="1"/>
        <v/>
      </c>
      <c r="I32" s="32" t="str">
        <f t="shared" si="2"/>
        <v>Pendiente</v>
      </c>
    </row>
    <row r="33" spans="2:9" ht="18" customHeight="1" x14ac:dyDescent="0.35">
      <c r="B33" s="52">
        <v>11</v>
      </c>
      <c r="C33" s="53">
        <v>2026</v>
      </c>
      <c r="D33" s="54" t="s">
        <v>237</v>
      </c>
      <c r="E33" s="55"/>
      <c r="F33" s="56" t="str">
        <f t="shared" si="3"/>
        <v/>
      </c>
      <c r="G33" s="57">
        <f t="shared" si="0"/>
        <v>3.5000000000000003E-2</v>
      </c>
      <c r="H33" s="56" t="str">
        <f t="shared" si="1"/>
        <v/>
      </c>
      <c r="I33" s="32" t="str">
        <f t="shared" si="2"/>
        <v>Pendiente</v>
      </c>
    </row>
    <row r="34" spans="2:9" ht="18" customHeight="1" x14ac:dyDescent="0.35">
      <c r="B34" s="52">
        <v>12</v>
      </c>
      <c r="C34" s="53">
        <v>2026</v>
      </c>
      <c r="D34" s="54" t="s">
        <v>238</v>
      </c>
      <c r="E34" s="55"/>
      <c r="F34" s="56" t="str">
        <f t="shared" si="3"/>
        <v/>
      </c>
      <c r="G34" s="57">
        <f t="shared" si="0"/>
        <v>3.5000000000000003E-2</v>
      </c>
      <c r="H34" s="56" t="str">
        <f t="shared" si="1"/>
        <v/>
      </c>
      <c r="I34" s="32" t="str">
        <f t="shared" si="2"/>
        <v>Pendiente</v>
      </c>
    </row>
    <row r="35" spans="2:9" ht="18" customHeight="1" x14ac:dyDescent="0.35">
      <c r="B35" s="52">
        <v>13</v>
      </c>
      <c r="C35" s="53">
        <v>2027</v>
      </c>
      <c r="D35" s="54" t="s">
        <v>227</v>
      </c>
      <c r="E35" s="55"/>
      <c r="F35" s="56" t="str">
        <f t="shared" si="3"/>
        <v/>
      </c>
      <c r="G35" s="57">
        <f t="shared" si="0"/>
        <v>3.5000000000000003E-2</v>
      </c>
      <c r="H35" s="56" t="str">
        <f t="shared" si="1"/>
        <v/>
      </c>
      <c r="I35" s="32" t="str">
        <f t="shared" si="2"/>
        <v>Pendiente</v>
      </c>
    </row>
    <row r="36" spans="2:9" ht="18" customHeight="1" x14ac:dyDescent="0.35">
      <c r="B36" s="52">
        <v>14</v>
      </c>
      <c r="C36" s="53">
        <v>2027</v>
      </c>
      <c r="D36" s="54" t="s">
        <v>228</v>
      </c>
      <c r="E36" s="55"/>
      <c r="F36" s="56" t="str">
        <f t="shared" si="3"/>
        <v/>
      </c>
      <c r="G36" s="57">
        <f t="shared" si="0"/>
        <v>3.5000000000000003E-2</v>
      </c>
      <c r="H36" s="56" t="str">
        <f t="shared" si="1"/>
        <v/>
      </c>
      <c r="I36" s="32" t="str">
        <f t="shared" si="2"/>
        <v>Pendiente</v>
      </c>
    </row>
    <row r="37" spans="2:9" ht="18" customHeight="1" x14ac:dyDescent="0.35">
      <c r="B37" s="52">
        <v>15</v>
      </c>
      <c r="C37" s="53">
        <v>2027</v>
      </c>
      <c r="D37" s="54" t="s">
        <v>229</v>
      </c>
      <c r="E37" s="55"/>
      <c r="F37" s="56" t="str">
        <f t="shared" si="3"/>
        <v/>
      </c>
      <c r="G37" s="57">
        <f t="shared" si="0"/>
        <v>3.5000000000000003E-2</v>
      </c>
      <c r="H37" s="56" t="str">
        <f t="shared" si="1"/>
        <v/>
      </c>
      <c r="I37" s="32" t="str">
        <f t="shared" si="2"/>
        <v>Pendiente</v>
      </c>
    </row>
    <row r="38" spans="2:9" ht="18" customHeight="1" x14ac:dyDescent="0.35">
      <c r="B38" s="52">
        <v>16</v>
      </c>
      <c r="C38" s="53">
        <v>2027</v>
      </c>
      <c r="D38" s="54" t="s">
        <v>230</v>
      </c>
      <c r="E38" s="55"/>
      <c r="F38" s="56" t="str">
        <f t="shared" si="3"/>
        <v/>
      </c>
      <c r="G38" s="57">
        <f t="shared" si="0"/>
        <v>3.5000000000000003E-2</v>
      </c>
      <c r="H38" s="56" t="str">
        <f t="shared" si="1"/>
        <v/>
      </c>
      <c r="I38" s="32" t="str">
        <f t="shared" si="2"/>
        <v>Pendiente</v>
      </c>
    </row>
    <row r="39" spans="2:9" ht="18" customHeight="1" x14ac:dyDescent="0.35">
      <c r="B39" s="52">
        <v>17</v>
      </c>
      <c r="C39" s="53">
        <v>2027</v>
      </c>
      <c r="D39" s="54" t="s">
        <v>231</v>
      </c>
      <c r="E39" s="55"/>
      <c r="F39" s="56" t="str">
        <f t="shared" si="3"/>
        <v/>
      </c>
      <c r="G39" s="57">
        <f t="shared" si="0"/>
        <v>3.5000000000000003E-2</v>
      </c>
      <c r="H39" s="56" t="str">
        <f t="shared" si="1"/>
        <v/>
      </c>
      <c r="I39" s="32" t="str">
        <f t="shared" si="2"/>
        <v>Pendiente</v>
      </c>
    </row>
    <row r="40" spans="2:9" ht="18" customHeight="1" x14ac:dyDescent="0.35">
      <c r="B40" s="52">
        <v>18</v>
      </c>
      <c r="C40" s="53">
        <v>2027</v>
      </c>
      <c r="D40" s="54" t="s">
        <v>232</v>
      </c>
      <c r="E40" s="55"/>
      <c r="F40" s="56" t="str">
        <f t="shared" si="3"/>
        <v/>
      </c>
      <c r="G40" s="57">
        <f t="shared" si="0"/>
        <v>3.5000000000000003E-2</v>
      </c>
      <c r="H40" s="56" t="str">
        <f t="shared" si="1"/>
        <v/>
      </c>
      <c r="I40" s="32" t="str">
        <f t="shared" si="2"/>
        <v>Pendiente</v>
      </c>
    </row>
    <row r="41" spans="2:9" ht="18" customHeight="1" x14ac:dyDescent="0.35">
      <c r="B41" s="52">
        <v>19</v>
      </c>
      <c r="C41" s="53">
        <v>2027</v>
      </c>
      <c r="D41" s="54" t="s">
        <v>233</v>
      </c>
      <c r="E41" s="55"/>
      <c r="F41" s="56" t="str">
        <f t="shared" si="3"/>
        <v/>
      </c>
      <c r="G41" s="57">
        <f t="shared" si="0"/>
        <v>3.5000000000000003E-2</v>
      </c>
      <c r="H41" s="56" t="str">
        <f t="shared" si="1"/>
        <v/>
      </c>
      <c r="I41" s="32" t="str">
        <f t="shared" si="2"/>
        <v>Pendiente</v>
      </c>
    </row>
    <row r="42" spans="2:9" ht="18" customHeight="1" x14ac:dyDescent="0.35">
      <c r="B42" s="52">
        <v>20</v>
      </c>
      <c r="C42" s="53">
        <v>2027</v>
      </c>
      <c r="D42" s="54" t="s">
        <v>234</v>
      </c>
      <c r="E42" s="55"/>
      <c r="F42" s="56" t="str">
        <f t="shared" si="3"/>
        <v/>
      </c>
      <c r="G42" s="57">
        <f t="shared" si="0"/>
        <v>3.5000000000000003E-2</v>
      </c>
      <c r="H42" s="56" t="str">
        <f t="shared" si="1"/>
        <v/>
      </c>
      <c r="I42" s="32" t="str">
        <f t="shared" si="2"/>
        <v>Pendiente</v>
      </c>
    </row>
    <row r="43" spans="2:9" ht="18" customHeight="1" x14ac:dyDescent="0.35">
      <c r="B43" s="52">
        <v>21</v>
      </c>
      <c r="C43" s="53">
        <v>2027</v>
      </c>
      <c r="D43" s="54" t="s">
        <v>235</v>
      </c>
      <c r="E43" s="55"/>
      <c r="F43" s="56" t="str">
        <f t="shared" si="3"/>
        <v/>
      </c>
      <c r="G43" s="57">
        <f t="shared" si="0"/>
        <v>3.5000000000000003E-2</v>
      </c>
      <c r="H43" s="56" t="str">
        <f t="shared" si="1"/>
        <v/>
      </c>
      <c r="I43" s="32" t="str">
        <f t="shared" si="2"/>
        <v>Pendiente</v>
      </c>
    </row>
    <row r="44" spans="2:9" ht="18" customHeight="1" x14ac:dyDescent="0.35">
      <c r="B44" s="52">
        <v>22</v>
      </c>
      <c r="C44" s="53">
        <v>2027</v>
      </c>
      <c r="D44" s="54" t="s">
        <v>236</v>
      </c>
      <c r="E44" s="55"/>
      <c r="F44" s="56" t="str">
        <f t="shared" si="3"/>
        <v/>
      </c>
      <c r="G44" s="57">
        <f t="shared" si="0"/>
        <v>3.5000000000000003E-2</v>
      </c>
      <c r="H44" s="56" t="str">
        <f t="shared" si="1"/>
        <v/>
      </c>
      <c r="I44" s="32" t="str">
        <f t="shared" si="2"/>
        <v>Pendiente</v>
      </c>
    </row>
    <row r="45" spans="2:9" ht="18" customHeight="1" x14ac:dyDescent="0.35">
      <c r="B45" s="52">
        <v>23</v>
      </c>
      <c r="C45" s="53">
        <v>2027</v>
      </c>
      <c r="D45" s="54" t="s">
        <v>237</v>
      </c>
      <c r="E45" s="55"/>
      <c r="F45" s="56" t="str">
        <f t="shared" si="3"/>
        <v/>
      </c>
      <c r="G45" s="57">
        <f t="shared" si="0"/>
        <v>3.5000000000000003E-2</v>
      </c>
      <c r="H45" s="56" t="str">
        <f t="shared" si="1"/>
        <v/>
      </c>
      <c r="I45" s="32" t="str">
        <f t="shared" si="2"/>
        <v>Pendiente</v>
      </c>
    </row>
    <row r="46" spans="2:9" ht="18" customHeight="1" x14ac:dyDescent="0.35">
      <c r="B46" s="52">
        <v>24</v>
      </c>
      <c r="C46" s="53">
        <v>2027</v>
      </c>
      <c r="D46" s="54" t="s">
        <v>238</v>
      </c>
      <c r="E46" s="55"/>
      <c r="F46" s="56" t="str">
        <f t="shared" si="3"/>
        <v/>
      </c>
      <c r="G46" s="57">
        <f t="shared" si="0"/>
        <v>3.5000000000000003E-2</v>
      </c>
      <c r="H46" s="56" t="str">
        <f t="shared" si="1"/>
        <v/>
      </c>
      <c r="I46" s="32" t="str">
        <f t="shared" si="2"/>
        <v>Pendiente</v>
      </c>
    </row>
    <row r="47" spans="2:9" ht="18" customHeight="1" x14ac:dyDescent="0.35">
      <c r="B47" s="52">
        <v>25</v>
      </c>
      <c r="C47" s="53">
        <v>2028</v>
      </c>
      <c r="D47" s="54" t="s">
        <v>227</v>
      </c>
      <c r="E47" s="55"/>
      <c r="F47" s="56" t="str">
        <f t="shared" si="3"/>
        <v/>
      </c>
      <c r="G47" s="57">
        <f t="shared" si="0"/>
        <v>3.5000000000000003E-2</v>
      </c>
      <c r="H47" s="56" t="str">
        <f t="shared" si="1"/>
        <v/>
      </c>
      <c r="I47" s="32" t="str">
        <f t="shared" si="2"/>
        <v>Pendiente</v>
      </c>
    </row>
    <row r="48" spans="2:9" ht="18" customHeight="1" x14ac:dyDescent="0.35">
      <c r="B48" s="52">
        <v>26</v>
      </c>
      <c r="C48" s="53">
        <v>2028</v>
      </c>
      <c r="D48" s="54" t="s">
        <v>228</v>
      </c>
      <c r="E48" s="55"/>
      <c r="F48" s="56" t="str">
        <f t="shared" si="3"/>
        <v/>
      </c>
      <c r="G48" s="57">
        <f t="shared" si="0"/>
        <v>3.5000000000000003E-2</v>
      </c>
      <c r="H48" s="56" t="str">
        <f t="shared" si="1"/>
        <v/>
      </c>
      <c r="I48" s="32" t="str">
        <f t="shared" si="2"/>
        <v>Pendiente</v>
      </c>
    </row>
    <row r="49" spans="2:9" ht="18" customHeight="1" x14ac:dyDescent="0.35">
      <c r="B49" s="52">
        <v>27</v>
      </c>
      <c r="C49" s="53">
        <v>2028</v>
      </c>
      <c r="D49" s="54" t="s">
        <v>229</v>
      </c>
      <c r="E49" s="55"/>
      <c r="F49" s="56" t="str">
        <f t="shared" si="3"/>
        <v/>
      </c>
      <c r="G49" s="57">
        <f t="shared" si="0"/>
        <v>3.5000000000000003E-2</v>
      </c>
      <c r="H49" s="56" t="str">
        <f t="shared" si="1"/>
        <v/>
      </c>
      <c r="I49" s="32" t="str">
        <f t="shared" si="2"/>
        <v>Pendiente</v>
      </c>
    </row>
    <row r="50" spans="2:9" ht="18" customHeight="1" x14ac:dyDescent="0.35">
      <c r="B50" s="52">
        <v>28</v>
      </c>
      <c r="C50" s="53">
        <v>2028</v>
      </c>
      <c r="D50" s="54" t="s">
        <v>230</v>
      </c>
      <c r="E50" s="55"/>
      <c r="F50" s="56" t="str">
        <f t="shared" si="3"/>
        <v/>
      </c>
      <c r="G50" s="57">
        <f t="shared" si="0"/>
        <v>3.5000000000000003E-2</v>
      </c>
      <c r="H50" s="56" t="str">
        <f t="shared" si="1"/>
        <v/>
      </c>
      <c r="I50" s="32" t="str">
        <f t="shared" si="2"/>
        <v>Pendiente</v>
      </c>
    </row>
    <row r="51" spans="2:9" ht="18" customHeight="1" x14ac:dyDescent="0.35">
      <c r="B51" s="52">
        <v>29</v>
      </c>
      <c r="C51" s="53">
        <v>2028</v>
      </c>
      <c r="D51" s="54" t="s">
        <v>231</v>
      </c>
      <c r="E51" s="55"/>
      <c r="F51" s="56" t="str">
        <f t="shared" si="3"/>
        <v/>
      </c>
      <c r="G51" s="57">
        <f t="shared" si="0"/>
        <v>3.5000000000000003E-2</v>
      </c>
      <c r="H51" s="56" t="str">
        <f t="shared" si="1"/>
        <v/>
      </c>
      <c r="I51" s="32" t="str">
        <f t="shared" si="2"/>
        <v>Pendiente</v>
      </c>
    </row>
    <row r="52" spans="2:9" ht="18" customHeight="1" x14ac:dyDescent="0.35">
      <c r="B52" s="52">
        <v>30</v>
      </c>
      <c r="C52" s="53">
        <v>2028</v>
      </c>
      <c r="D52" s="54" t="s">
        <v>232</v>
      </c>
      <c r="E52" s="55"/>
      <c r="F52" s="56" t="str">
        <f t="shared" si="3"/>
        <v/>
      </c>
      <c r="G52" s="57">
        <f t="shared" si="0"/>
        <v>3.5000000000000003E-2</v>
      </c>
      <c r="H52" s="56" t="str">
        <f t="shared" si="1"/>
        <v/>
      </c>
      <c r="I52" s="32" t="str">
        <f t="shared" si="2"/>
        <v>Pendiente</v>
      </c>
    </row>
    <row r="53" spans="2:9" ht="18" customHeight="1" x14ac:dyDescent="0.35">
      <c r="B53" s="52">
        <v>31</v>
      </c>
      <c r="C53" s="53">
        <v>2028</v>
      </c>
      <c r="D53" s="54" t="s">
        <v>233</v>
      </c>
      <c r="E53" s="55"/>
      <c r="F53" s="56" t="str">
        <f t="shared" si="3"/>
        <v/>
      </c>
      <c r="G53" s="57">
        <f t="shared" si="0"/>
        <v>3.5000000000000003E-2</v>
      </c>
      <c r="H53" s="56" t="str">
        <f t="shared" si="1"/>
        <v/>
      </c>
      <c r="I53" s="32" t="str">
        <f t="shared" si="2"/>
        <v>Pendiente</v>
      </c>
    </row>
    <row r="54" spans="2:9" ht="18" customHeight="1" x14ac:dyDescent="0.35">
      <c r="B54" s="52">
        <v>32</v>
      </c>
      <c r="C54" s="53">
        <v>2028</v>
      </c>
      <c r="D54" s="54" t="s">
        <v>234</v>
      </c>
      <c r="E54" s="55"/>
      <c r="F54" s="56" t="str">
        <f t="shared" si="3"/>
        <v/>
      </c>
      <c r="G54" s="57">
        <f t="shared" si="0"/>
        <v>3.5000000000000003E-2</v>
      </c>
      <c r="H54" s="56" t="str">
        <f t="shared" si="1"/>
        <v/>
      </c>
      <c r="I54" s="32" t="str">
        <f t="shared" si="2"/>
        <v>Pendiente</v>
      </c>
    </row>
    <row r="55" spans="2:9" ht="18" customHeight="1" x14ac:dyDescent="0.35">
      <c r="B55" s="52">
        <v>33</v>
      </c>
      <c r="C55" s="53">
        <v>2028</v>
      </c>
      <c r="D55" s="54" t="s">
        <v>235</v>
      </c>
      <c r="E55" s="55"/>
      <c r="F55" s="56" t="str">
        <f t="shared" si="3"/>
        <v/>
      </c>
      <c r="G55" s="57">
        <f t="shared" ref="G55:G82" si="4">IFERROR(VLOOKUP(C55,$B$14:$C$18,2,FALSE()),"")</f>
        <v>3.5000000000000003E-2</v>
      </c>
      <c r="H55" s="56" t="str">
        <f t="shared" ref="H55:H86" si="5">IFERROR(IF(OR(F55="",NOT(ISNUMBER(G55))),"",F55/G55),"")</f>
        <v/>
      </c>
      <c r="I55" s="32" t="str">
        <f t="shared" ref="I55:I86" si="6">IFERROR(IF(H55="","Pendiente",IF(H55&gt;=0.95,"Cumple",IF(H55&gt;=0.8,"En riesgo","Crítico"))),"Pendiente")</f>
        <v>Pendiente</v>
      </c>
    </row>
    <row r="56" spans="2:9" ht="18" customHeight="1" x14ac:dyDescent="0.35">
      <c r="B56" s="52">
        <v>34</v>
      </c>
      <c r="C56" s="53">
        <v>2028</v>
      </c>
      <c r="D56" s="54" t="s">
        <v>236</v>
      </c>
      <c r="E56" s="55"/>
      <c r="F56" s="56" t="str">
        <f t="shared" ref="F56:F87" si="7">IFERROR(IF(OR(E56="",E55="",E55=0),"",(E56-E55)/E55),"")</f>
        <v/>
      </c>
      <c r="G56" s="57">
        <f t="shared" si="4"/>
        <v>3.5000000000000003E-2</v>
      </c>
      <c r="H56" s="56" t="str">
        <f t="shared" si="5"/>
        <v/>
      </c>
      <c r="I56" s="32" t="str">
        <f t="shared" si="6"/>
        <v>Pendiente</v>
      </c>
    </row>
    <row r="57" spans="2:9" ht="18" customHeight="1" x14ac:dyDescent="0.35">
      <c r="B57" s="52">
        <v>35</v>
      </c>
      <c r="C57" s="53">
        <v>2028</v>
      </c>
      <c r="D57" s="54" t="s">
        <v>237</v>
      </c>
      <c r="E57" s="55"/>
      <c r="F57" s="56" t="str">
        <f t="shared" si="7"/>
        <v/>
      </c>
      <c r="G57" s="57">
        <f t="shared" si="4"/>
        <v>3.5000000000000003E-2</v>
      </c>
      <c r="H57" s="56" t="str">
        <f t="shared" si="5"/>
        <v/>
      </c>
      <c r="I57" s="32" t="str">
        <f t="shared" si="6"/>
        <v>Pendiente</v>
      </c>
    </row>
    <row r="58" spans="2:9" ht="18" customHeight="1" x14ac:dyDescent="0.35">
      <c r="B58" s="52">
        <v>36</v>
      </c>
      <c r="C58" s="53">
        <v>2028</v>
      </c>
      <c r="D58" s="54" t="s">
        <v>238</v>
      </c>
      <c r="E58" s="55"/>
      <c r="F58" s="56" t="str">
        <f t="shared" si="7"/>
        <v/>
      </c>
      <c r="G58" s="57">
        <f t="shared" si="4"/>
        <v>3.5000000000000003E-2</v>
      </c>
      <c r="H58" s="56" t="str">
        <f t="shared" si="5"/>
        <v/>
      </c>
      <c r="I58" s="32" t="str">
        <f t="shared" si="6"/>
        <v>Pendiente</v>
      </c>
    </row>
    <row r="59" spans="2:9" ht="18" customHeight="1" x14ac:dyDescent="0.35">
      <c r="B59" s="52">
        <v>37</v>
      </c>
      <c r="C59" s="53">
        <v>2029</v>
      </c>
      <c r="D59" s="54" t="s">
        <v>227</v>
      </c>
      <c r="E59" s="55"/>
      <c r="F59" s="56" t="str">
        <f t="shared" si="7"/>
        <v/>
      </c>
      <c r="G59" s="57">
        <f t="shared" si="4"/>
        <v>3.5000000000000003E-2</v>
      </c>
      <c r="H59" s="56" t="str">
        <f t="shared" si="5"/>
        <v/>
      </c>
      <c r="I59" s="32" t="str">
        <f t="shared" si="6"/>
        <v>Pendiente</v>
      </c>
    </row>
    <row r="60" spans="2:9" ht="18" customHeight="1" x14ac:dyDescent="0.35">
      <c r="B60" s="52">
        <v>38</v>
      </c>
      <c r="C60" s="53">
        <v>2029</v>
      </c>
      <c r="D60" s="54" t="s">
        <v>228</v>
      </c>
      <c r="E60" s="55"/>
      <c r="F60" s="56" t="str">
        <f t="shared" si="7"/>
        <v/>
      </c>
      <c r="G60" s="57">
        <f t="shared" si="4"/>
        <v>3.5000000000000003E-2</v>
      </c>
      <c r="H60" s="56" t="str">
        <f t="shared" si="5"/>
        <v/>
      </c>
      <c r="I60" s="32" t="str">
        <f t="shared" si="6"/>
        <v>Pendiente</v>
      </c>
    </row>
    <row r="61" spans="2:9" ht="18" customHeight="1" x14ac:dyDescent="0.35">
      <c r="B61" s="52">
        <v>39</v>
      </c>
      <c r="C61" s="53">
        <v>2029</v>
      </c>
      <c r="D61" s="54" t="s">
        <v>229</v>
      </c>
      <c r="E61" s="55"/>
      <c r="F61" s="56" t="str">
        <f t="shared" si="7"/>
        <v/>
      </c>
      <c r="G61" s="57">
        <f t="shared" si="4"/>
        <v>3.5000000000000003E-2</v>
      </c>
      <c r="H61" s="56" t="str">
        <f t="shared" si="5"/>
        <v/>
      </c>
      <c r="I61" s="32" t="str">
        <f t="shared" si="6"/>
        <v>Pendiente</v>
      </c>
    </row>
    <row r="62" spans="2:9" ht="18" customHeight="1" x14ac:dyDescent="0.35">
      <c r="B62" s="52">
        <v>40</v>
      </c>
      <c r="C62" s="53">
        <v>2029</v>
      </c>
      <c r="D62" s="54" t="s">
        <v>230</v>
      </c>
      <c r="E62" s="55"/>
      <c r="F62" s="56" t="str">
        <f t="shared" si="7"/>
        <v/>
      </c>
      <c r="G62" s="57">
        <f t="shared" si="4"/>
        <v>3.5000000000000003E-2</v>
      </c>
      <c r="H62" s="56" t="str">
        <f t="shared" si="5"/>
        <v/>
      </c>
      <c r="I62" s="32" t="str">
        <f t="shared" si="6"/>
        <v>Pendiente</v>
      </c>
    </row>
    <row r="63" spans="2:9" ht="18" customHeight="1" x14ac:dyDescent="0.35">
      <c r="B63" s="52">
        <v>41</v>
      </c>
      <c r="C63" s="53">
        <v>2029</v>
      </c>
      <c r="D63" s="54" t="s">
        <v>231</v>
      </c>
      <c r="E63" s="55"/>
      <c r="F63" s="56" t="str">
        <f t="shared" si="7"/>
        <v/>
      </c>
      <c r="G63" s="57">
        <f t="shared" si="4"/>
        <v>3.5000000000000003E-2</v>
      </c>
      <c r="H63" s="56" t="str">
        <f t="shared" si="5"/>
        <v/>
      </c>
      <c r="I63" s="32" t="str">
        <f t="shared" si="6"/>
        <v>Pendiente</v>
      </c>
    </row>
    <row r="64" spans="2:9" ht="18" customHeight="1" x14ac:dyDescent="0.35">
      <c r="B64" s="52">
        <v>42</v>
      </c>
      <c r="C64" s="53">
        <v>2029</v>
      </c>
      <c r="D64" s="54" t="s">
        <v>232</v>
      </c>
      <c r="E64" s="55"/>
      <c r="F64" s="56" t="str">
        <f t="shared" si="7"/>
        <v/>
      </c>
      <c r="G64" s="57">
        <f t="shared" si="4"/>
        <v>3.5000000000000003E-2</v>
      </c>
      <c r="H64" s="56" t="str">
        <f t="shared" si="5"/>
        <v/>
      </c>
      <c r="I64" s="32" t="str">
        <f t="shared" si="6"/>
        <v>Pendiente</v>
      </c>
    </row>
    <row r="65" spans="2:9" ht="18" customHeight="1" x14ac:dyDescent="0.35">
      <c r="B65" s="52">
        <v>43</v>
      </c>
      <c r="C65" s="53">
        <v>2029</v>
      </c>
      <c r="D65" s="54" t="s">
        <v>233</v>
      </c>
      <c r="E65" s="55"/>
      <c r="F65" s="56" t="str">
        <f t="shared" si="7"/>
        <v/>
      </c>
      <c r="G65" s="57">
        <f t="shared" si="4"/>
        <v>3.5000000000000003E-2</v>
      </c>
      <c r="H65" s="56" t="str">
        <f t="shared" si="5"/>
        <v/>
      </c>
      <c r="I65" s="32" t="str">
        <f t="shared" si="6"/>
        <v>Pendiente</v>
      </c>
    </row>
    <row r="66" spans="2:9" ht="18" customHeight="1" x14ac:dyDescent="0.35">
      <c r="B66" s="52">
        <v>44</v>
      </c>
      <c r="C66" s="53">
        <v>2029</v>
      </c>
      <c r="D66" s="54" t="s">
        <v>234</v>
      </c>
      <c r="E66" s="55"/>
      <c r="F66" s="56" t="str">
        <f t="shared" si="7"/>
        <v/>
      </c>
      <c r="G66" s="57">
        <f t="shared" si="4"/>
        <v>3.5000000000000003E-2</v>
      </c>
      <c r="H66" s="56" t="str">
        <f t="shared" si="5"/>
        <v/>
      </c>
      <c r="I66" s="32" t="str">
        <f t="shared" si="6"/>
        <v>Pendiente</v>
      </c>
    </row>
    <row r="67" spans="2:9" ht="18" customHeight="1" x14ac:dyDescent="0.35">
      <c r="B67" s="52">
        <v>45</v>
      </c>
      <c r="C67" s="53">
        <v>2029</v>
      </c>
      <c r="D67" s="54" t="s">
        <v>235</v>
      </c>
      <c r="E67" s="55"/>
      <c r="F67" s="56" t="str">
        <f t="shared" si="7"/>
        <v/>
      </c>
      <c r="G67" s="57">
        <f t="shared" si="4"/>
        <v>3.5000000000000003E-2</v>
      </c>
      <c r="H67" s="56" t="str">
        <f t="shared" si="5"/>
        <v/>
      </c>
      <c r="I67" s="32" t="str">
        <f t="shared" si="6"/>
        <v>Pendiente</v>
      </c>
    </row>
    <row r="68" spans="2:9" ht="18" customHeight="1" x14ac:dyDescent="0.35">
      <c r="B68" s="52">
        <v>46</v>
      </c>
      <c r="C68" s="53">
        <v>2029</v>
      </c>
      <c r="D68" s="54" t="s">
        <v>236</v>
      </c>
      <c r="E68" s="55"/>
      <c r="F68" s="56" t="str">
        <f t="shared" si="7"/>
        <v/>
      </c>
      <c r="G68" s="57">
        <f t="shared" si="4"/>
        <v>3.5000000000000003E-2</v>
      </c>
      <c r="H68" s="56" t="str">
        <f t="shared" si="5"/>
        <v/>
      </c>
      <c r="I68" s="32" t="str">
        <f t="shared" si="6"/>
        <v>Pendiente</v>
      </c>
    </row>
    <row r="69" spans="2:9" ht="18" customHeight="1" x14ac:dyDescent="0.35">
      <c r="B69" s="52">
        <v>47</v>
      </c>
      <c r="C69" s="53">
        <v>2029</v>
      </c>
      <c r="D69" s="54" t="s">
        <v>237</v>
      </c>
      <c r="E69" s="55"/>
      <c r="F69" s="56" t="str">
        <f t="shared" si="7"/>
        <v/>
      </c>
      <c r="G69" s="57">
        <f t="shared" si="4"/>
        <v>3.5000000000000003E-2</v>
      </c>
      <c r="H69" s="56" t="str">
        <f t="shared" si="5"/>
        <v/>
      </c>
      <c r="I69" s="32" t="str">
        <f t="shared" si="6"/>
        <v>Pendiente</v>
      </c>
    </row>
    <row r="70" spans="2:9" ht="18" customHeight="1" x14ac:dyDescent="0.35">
      <c r="B70" s="52">
        <v>48</v>
      </c>
      <c r="C70" s="53">
        <v>2029</v>
      </c>
      <c r="D70" s="54" t="s">
        <v>238</v>
      </c>
      <c r="E70" s="55"/>
      <c r="F70" s="56" t="str">
        <f t="shared" si="7"/>
        <v/>
      </c>
      <c r="G70" s="57">
        <f t="shared" si="4"/>
        <v>3.5000000000000003E-2</v>
      </c>
      <c r="H70" s="56" t="str">
        <f t="shared" si="5"/>
        <v/>
      </c>
      <c r="I70" s="32" t="str">
        <f t="shared" si="6"/>
        <v>Pendiente</v>
      </c>
    </row>
    <row r="71" spans="2:9" ht="18" customHeight="1" x14ac:dyDescent="0.35">
      <c r="B71" s="52">
        <v>49</v>
      </c>
      <c r="C71" s="53">
        <v>2030</v>
      </c>
      <c r="D71" s="54" t="s">
        <v>227</v>
      </c>
      <c r="E71" s="55"/>
      <c r="F71" s="56" t="str">
        <f t="shared" si="7"/>
        <v/>
      </c>
      <c r="G71" s="57">
        <f t="shared" si="4"/>
        <v>3.5000000000000003E-2</v>
      </c>
      <c r="H71" s="56" t="str">
        <f t="shared" si="5"/>
        <v/>
      </c>
      <c r="I71" s="32" t="str">
        <f t="shared" si="6"/>
        <v>Pendiente</v>
      </c>
    </row>
    <row r="72" spans="2:9" ht="18" customHeight="1" x14ac:dyDescent="0.35">
      <c r="B72" s="52">
        <v>50</v>
      </c>
      <c r="C72" s="53">
        <v>2030</v>
      </c>
      <c r="D72" s="54" t="s">
        <v>228</v>
      </c>
      <c r="E72" s="55"/>
      <c r="F72" s="56" t="str">
        <f t="shared" si="7"/>
        <v/>
      </c>
      <c r="G72" s="57">
        <f t="shared" si="4"/>
        <v>3.5000000000000003E-2</v>
      </c>
      <c r="H72" s="56" t="str">
        <f t="shared" si="5"/>
        <v/>
      </c>
      <c r="I72" s="32" t="str">
        <f t="shared" si="6"/>
        <v>Pendiente</v>
      </c>
    </row>
    <row r="73" spans="2:9" ht="18" customHeight="1" x14ac:dyDescent="0.35">
      <c r="B73" s="52">
        <v>51</v>
      </c>
      <c r="C73" s="53">
        <v>2030</v>
      </c>
      <c r="D73" s="54" t="s">
        <v>229</v>
      </c>
      <c r="E73" s="55"/>
      <c r="F73" s="56" t="str">
        <f t="shared" si="7"/>
        <v/>
      </c>
      <c r="G73" s="57">
        <f t="shared" si="4"/>
        <v>3.5000000000000003E-2</v>
      </c>
      <c r="H73" s="56" t="str">
        <f t="shared" si="5"/>
        <v/>
      </c>
      <c r="I73" s="32" t="str">
        <f t="shared" si="6"/>
        <v>Pendiente</v>
      </c>
    </row>
    <row r="74" spans="2:9" ht="18" customHeight="1" x14ac:dyDescent="0.35">
      <c r="B74" s="52">
        <v>52</v>
      </c>
      <c r="C74" s="53">
        <v>2030</v>
      </c>
      <c r="D74" s="54" t="s">
        <v>230</v>
      </c>
      <c r="E74" s="55"/>
      <c r="F74" s="56" t="str">
        <f t="shared" si="7"/>
        <v/>
      </c>
      <c r="G74" s="57">
        <f t="shared" si="4"/>
        <v>3.5000000000000003E-2</v>
      </c>
      <c r="H74" s="56" t="str">
        <f t="shared" si="5"/>
        <v/>
      </c>
      <c r="I74" s="32" t="str">
        <f t="shared" si="6"/>
        <v>Pendiente</v>
      </c>
    </row>
    <row r="75" spans="2:9" ht="18" customHeight="1" x14ac:dyDescent="0.35">
      <c r="B75" s="52">
        <v>53</v>
      </c>
      <c r="C75" s="53">
        <v>2030</v>
      </c>
      <c r="D75" s="54" t="s">
        <v>231</v>
      </c>
      <c r="E75" s="55"/>
      <c r="F75" s="56" t="str">
        <f t="shared" si="7"/>
        <v/>
      </c>
      <c r="G75" s="57">
        <f t="shared" si="4"/>
        <v>3.5000000000000003E-2</v>
      </c>
      <c r="H75" s="56" t="str">
        <f t="shared" si="5"/>
        <v/>
      </c>
      <c r="I75" s="32" t="str">
        <f t="shared" si="6"/>
        <v>Pendiente</v>
      </c>
    </row>
    <row r="76" spans="2:9" ht="18" customHeight="1" x14ac:dyDescent="0.35">
      <c r="B76" s="52">
        <v>54</v>
      </c>
      <c r="C76" s="53">
        <v>2030</v>
      </c>
      <c r="D76" s="54" t="s">
        <v>232</v>
      </c>
      <c r="E76" s="55"/>
      <c r="F76" s="56" t="str">
        <f t="shared" si="7"/>
        <v/>
      </c>
      <c r="G76" s="57">
        <f t="shared" si="4"/>
        <v>3.5000000000000003E-2</v>
      </c>
      <c r="H76" s="56" t="str">
        <f t="shared" si="5"/>
        <v/>
      </c>
      <c r="I76" s="32" t="str">
        <f t="shared" si="6"/>
        <v>Pendiente</v>
      </c>
    </row>
    <row r="77" spans="2:9" ht="18" customHeight="1" x14ac:dyDescent="0.35">
      <c r="B77" s="52">
        <v>55</v>
      </c>
      <c r="C77" s="53">
        <v>2030</v>
      </c>
      <c r="D77" s="54" t="s">
        <v>233</v>
      </c>
      <c r="E77" s="55"/>
      <c r="F77" s="56" t="str">
        <f t="shared" si="7"/>
        <v/>
      </c>
      <c r="G77" s="57">
        <f t="shared" si="4"/>
        <v>3.5000000000000003E-2</v>
      </c>
      <c r="H77" s="56" t="str">
        <f t="shared" si="5"/>
        <v/>
      </c>
      <c r="I77" s="32" t="str">
        <f t="shared" si="6"/>
        <v>Pendiente</v>
      </c>
    </row>
    <row r="78" spans="2:9" ht="18" customHeight="1" x14ac:dyDescent="0.35">
      <c r="B78" s="52">
        <v>56</v>
      </c>
      <c r="C78" s="53">
        <v>2030</v>
      </c>
      <c r="D78" s="54" t="s">
        <v>234</v>
      </c>
      <c r="E78" s="55"/>
      <c r="F78" s="56" t="str">
        <f t="shared" si="7"/>
        <v/>
      </c>
      <c r="G78" s="57">
        <f t="shared" si="4"/>
        <v>3.5000000000000003E-2</v>
      </c>
      <c r="H78" s="56" t="str">
        <f t="shared" si="5"/>
        <v/>
      </c>
      <c r="I78" s="32" t="str">
        <f t="shared" si="6"/>
        <v>Pendiente</v>
      </c>
    </row>
    <row r="79" spans="2:9" ht="18" customHeight="1" x14ac:dyDescent="0.35">
      <c r="B79" s="52">
        <v>57</v>
      </c>
      <c r="C79" s="53">
        <v>2030</v>
      </c>
      <c r="D79" s="54" t="s">
        <v>235</v>
      </c>
      <c r="E79" s="55"/>
      <c r="F79" s="56" t="str">
        <f t="shared" si="7"/>
        <v/>
      </c>
      <c r="G79" s="57">
        <f t="shared" si="4"/>
        <v>3.5000000000000003E-2</v>
      </c>
      <c r="H79" s="56" t="str">
        <f t="shared" si="5"/>
        <v/>
      </c>
      <c r="I79" s="32" t="str">
        <f t="shared" si="6"/>
        <v>Pendiente</v>
      </c>
    </row>
    <row r="80" spans="2:9" ht="18" customHeight="1" x14ac:dyDescent="0.35">
      <c r="B80" s="52">
        <v>58</v>
      </c>
      <c r="C80" s="53">
        <v>2030</v>
      </c>
      <c r="D80" s="54" t="s">
        <v>236</v>
      </c>
      <c r="E80" s="55"/>
      <c r="F80" s="56" t="str">
        <f t="shared" si="7"/>
        <v/>
      </c>
      <c r="G80" s="57">
        <f t="shared" si="4"/>
        <v>3.5000000000000003E-2</v>
      </c>
      <c r="H80" s="56" t="str">
        <f t="shared" si="5"/>
        <v/>
      </c>
      <c r="I80" s="32" t="str">
        <f t="shared" si="6"/>
        <v>Pendiente</v>
      </c>
    </row>
    <row r="81" spans="2:9" ht="18" customHeight="1" x14ac:dyDescent="0.35">
      <c r="B81" s="52">
        <v>59</v>
      </c>
      <c r="C81" s="53">
        <v>2030</v>
      </c>
      <c r="D81" s="54" t="s">
        <v>237</v>
      </c>
      <c r="E81" s="55"/>
      <c r="F81" s="56" t="str">
        <f t="shared" si="7"/>
        <v/>
      </c>
      <c r="G81" s="57">
        <f t="shared" si="4"/>
        <v>3.5000000000000003E-2</v>
      </c>
      <c r="H81" s="56" t="str">
        <f t="shared" si="5"/>
        <v/>
      </c>
      <c r="I81" s="32" t="str">
        <f t="shared" si="6"/>
        <v>Pendiente</v>
      </c>
    </row>
    <row r="82" spans="2:9" ht="18" customHeight="1" x14ac:dyDescent="0.35">
      <c r="B82" s="52">
        <v>60</v>
      </c>
      <c r="C82" s="53">
        <v>2030</v>
      </c>
      <c r="D82" s="54" t="s">
        <v>238</v>
      </c>
      <c r="E82" s="55"/>
      <c r="F82" s="56" t="str">
        <f t="shared" si="7"/>
        <v/>
      </c>
      <c r="G82" s="57">
        <f t="shared" si="4"/>
        <v>3.5000000000000003E-2</v>
      </c>
      <c r="H82" s="56" t="str">
        <f t="shared" si="5"/>
        <v/>
      </c>
      <c r="I82" s="32" t="str">
        <f t="shared" si="6"/>
        <v>Pendiente</v>
      </c>
    </row>
  </sheetData>
  <mergeCells count="29">
    <mergeCell ref="E16:I16"/>
    <mergeCell ref="B5:C5"/>
    <mergeCell ref="B20:I20"/>
    <mergeCell ref="C13:D13"/>
    <mergeCell ref="C18:D18"/>
    <mergeCell ref="E18:I18"/>
    <mergeCell ref="E17:I17"/>
    <mergeCell ref="B12:I12"/>
    <mergeCell ref="B21:I21"/>
    <mergeCell ref="C16:D16"/>
    <mergeCell ref="B2:I2"/>
    <mergeCell ref="D9:I9"/>
    <mergeCell ref="E13:I13"/>
    <mergeCell ref="B8:C8"/>
    <mergeCell ref="D8:I8"/>
    <mergeCell ref="E15:I15"/>
    <mergeCell ref="D5:I5"/>
    <mergeCell ref="B10:C10"/>
    <mergeCell ref="B9:C9"/>
    <mergeCell ref="C17:D17"/>
    <mergeCell ref="B6:C6"/>
    <mergeCell ref="D10:I10"/>
    <mergeCell ref="B7:C7"/>
    <mergeCell ref="C15:D15"/>
    <mergeCell ref="B3:I3"/>
    <mergeCell ref="C14:D14"/>
    <mergeCell ref="E14:I14"/>
    <mergeCell ref="D7:I7"/>
    <mergeCell ref="D6:I6"/>
  </mergeCells>
  <conditionalFormatting sqref="H23:H82">
    <cfRule type="expression" dxfId="160" priority="2">
      <formula>AND(ISNUMBER(H23),H23&gt;=0.95)</formula>
    </cfRule>
    <cfRule type="expression" dxfId="159" priority="3">
      <formula>AND(ISNUMBER(H23),H23&gt;=0.8,H23&lt;0.95)</formula>
    </cfRule>
    <cfRule type="expression" dxfId="158" priority="4">
      <formula>AND(ISNUMBER(H23),H23&lt;0.8)</formula>
    </cfRule>
  </conditionalFormatting>
  <conditionalFormatting sqref="I23:I82">
    <cfRule type="expression" dxfId="157" priority="5">
      <formula>I23="Cumple"</formula>
    </cfRule>
    <cfRule type="expression" dxfId="156" priority="6">
      <formula>I23="En riesgo"</formula>
    </cfRule>
    <cfRule type="expression" dxfId="155" priority="7">
      <formula>I23="Crítico"</formula>
    </cfRule>
    <cfRule type="expression" dxfId="154" priority="8">
      <formula>I23="Pendiente"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6FB2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97" t="s">
        <v>243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94" t="s">
        <v>213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145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146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147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VLOOKUP("IND-04",Parámetros!$B$6:$F$30,5,FALSE())</f>
        <v>Tesorería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8">
        <v>-200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8">
        <v>-200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8">
        <v>-200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8">
        <v>-200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8">
        <v>-200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244</v>
      </c>
      <c r="F22" s="21" t="s">
        <v>211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58"/>
      <c r="F23" s="58"/>
      <c r="G23" s="59" t="str">
        <f t="shared" ref="G23:G54" si="0">IFERROR(IF(OR(E23="",F23=""),"",(E23-F23)*10000),"")</f>
        <v/>
      </c>
      <c r="H23" s="60">
        <f t="shared" ref="H23:H54" si="1">IFERROR(VLOOKUP(C23,$B$14:$C$18,2,FALSE()),"")</f>
        <v>-200</v>
      </c>
      <c r="I23" s="56" t="str">
        <f t="shared" ref="I23:I54" si="2">IFERROR(IF(OR(G23="",NOT(ISNUMBER(H23))),"",G23/H23),"")</f>
        <v/>
      </c>
      <c r="J23" s="32" t="str">
        <f t="shared" ref="J23:J54" si="3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58"/>
      <c r="F24" s="58"/>
      <c r="G24" s="59" t="str">
        <f t="shared" si="0"/>
        <v/>
      </c>
      <c r="H24" s="60">
        <f t="shared" si="1"/>
        <v>-200</v>
      </c>
      <c r="I24" s="56" t="str">
        <f t="shared" si="2"/>
        <v/>
      </c>
      <c r="J24" s="32" t="str">
        <f t="shared" si="3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58"/>
      <c r="F25" s="58"/>
      <c r="G25" s="59" t="str">
        <f t="shared" si="0"/>
        <v/>
      </c>
      <c r="H25" s="60">
        <f t="shared" si="1"/>
        <v>-200</v>
      </c>
      <c r="I25" s="56" t="str">
        <f t="shared" si="2"/>
        <v/>
      </c>
      <c r="J25" s="32" t="str">
        <f t="shared" si="3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58"/>
      <c r="F26" s="58"/>
      <c r="G26" s="59" t="str">
        <f t="shared" si="0"/>
        <v/>
      </c>
      <c r="H26" s="60">
        <f t="shared" si="1"/>
        <v>-200</v>
      </c>
      <c r="I26" s="56" t="str">
        <f t="shared" si="2"/>
        <v/>
      </c>
      <c r="J26" s="32" t="str">
        <f t="shared" si="3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58"/>
      <c r="F27" s="58"/>
      <c r="G27" s="59" t="str">
        <f t="shared" si="0"/>
        <v/>
      </c>
      <c r="H27" s="60">
        <f t="shared" si="1"/>
        <v>-200</v>
      </c>
      <c r="I27" s="56" t="str">
        <f t="shared" si="2"/>
        <v/>
      </c>
      <c r="J27" s="32" t="str">
        <f t="shared" si="3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58"/>
      <c r="F28" s="58"/>
      <c r="G28" s="59" t="str">
        <f t="shared" si="0"/>
        <v/>
      </c>
      <c r="H28" s="60">
        <f t="shared" si="1"/>
        <v>-200</v>
      </c>
      <c r="I28" s="56" t="str">
        <f t="shared" si="2"/>
        <v/>
      </c>
      <c r="J28" s="32" t="str">
        <f t="shared" si="3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58"/>
      <c r="F29" s="58"/>
      <c r="G29" s="59" t="str">
        <f t="shared" si="0"/>
        <v/>
      </c>
      <c r="H29" s="60">
        <f t="shared" si="1"/>
        <v>-200</v>
      </c>
      <c r="I29" s="56" t="str">
        <f t="shared" si="2"/>
        <v/>
      </c>
      <c r="J29" s="32" t="str">
        <f t="shared" si="3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58"/>
      <c r="F30" s="58"/>
      <c r="G30" s="59" t="str">
        <f t="shared" si="0"/>
        <v/>
      </c>
      <c r="H30" s="60">
        <f t="shared" si="1"/>
        <v>-200</v>
      </c>
      <c r="I30" s="56" t="str">
        <f t="shared" si="2"/>
        <v/>
      </c>
      <c r="J30" s="32" t="str">
        <f t="shared" si="3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58"/>
      <c r="F31" s="58"/>
      <c r="G31" s="59" t="str">
        <f t="shared" si="0"/>
        <v/>
      </c>
      <c r="H31" s="60">
        <f t="shared" si="1"/>
        <v>-200</v>
      </c>
      <c r="I31" s="56" t="str">
        <f t="shared" si="2"/>
        <v/>
      </c>
      <c r="J31" s="32" t="str">
        <f t="shared" si="3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58"/>
      <c r="F32" s="58"/>
      <c r="G32" s="59" t="str">
        <f t="shared" si="0"/>
        <v/>
      </c>
      <c r="H32" s="60">
        <f t="shared" si="1"/>
        <v>-200</v>
      </c>
      <c r="I32" s="56" t="str">
        <f t="shared" si="2"/>
        <v/>
      </c>
      <c r="J32" s="32" t="str">
        <f t="shared" si="3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58"/>
      <c r="F33" s="58"/>
      <c r="G33" s="59" t="str">
        <f t="shared" si="0"/>
        <v/>
      </c>
      <c r="H33" s="60">
        <f t="shared" si="1"/>
        <v>-200</v>
      </c>
      <c r="I33" s="56" t="str">
        <f t="shared" si="2"/>
        <v/>
      </c>
      <c r="J33" s="32" t="str">
        <f t="shared" si="3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58"/>
      <c r="F34" s="58"/>
      <c r="G34" s="59" t="str">
        <f t="shared" si="0"/>
        <v/>
      </c>
      <c r="H34" s="60">
        <f t="shared" si="1"/>
        <v>-200</v>
      </c>
      <c r="I34" s="56" t="str">
        <f t="shared" si="2"/>
        <v/>
      </c>
      <c r="J34" s="32" t="str">
        <f t="shared" si="3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58"/>
      <c r="F35" s="58"/>
      <c r="G35" s="59" t="str">
        <f t="shared" si="0"/>
        <v/>
      </c>
      <c r="H35" s="60">
        <f t="shared" si="1"/>
        <v>-200</v>
      </c>
      <c r="I35" s="56" t="str">
        <f t="shared" si="2"/>
        <v/>
      </c>
      <c r="J35" s="32" t="str">
        <f t="shared" si="3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58"/>
      <c r="F36" s="58"/>
      <c r="G36" s="59" t="str">
        <f t="shared" si="0"/>
        <v/>
      </c>
      <c r="H36" s="60">
        <f t="shared" si="1"/>
        <v>-200</v>
      </c>
      <c r="I36" s="56" t="str">
        <f t="shared" si="2"/>
        <v/>
      </c>
      <c r="J36" s="32" t="str">
        <f t="shared" si="3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58"/>
      <c r="F37" s="58"/>
      <c r="G37" s="59" t="str">
        <f t="shared" si="0"/>
        <v/>
      </c>
      <c r="H37" s="60">
        <f t="shared" si="1"/>
        <v>-200</v>
      </c>
      <c r="I37" s="56" t="str">
        <f t="shared" si="2"/>
        <v/>
      </c>
      <c r="J37" s="32" t="str">
        <f t="shared" si="3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58"/>
      <c r="F38" s="58"/>
      <c r="G38" s="59" t="str">
        <f t="shared" si="0"/>
        <v/>
      </c>
      <c r="H38" s="60">
        <f t="shared" si="1"/>
        <v>-200</v>
      </c>
      <c r="I38" s="56" t="str">
        <f t="shared" si="2"/>
        <v/>
      </c>
      <c r="J38" s="3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58"/>
      <c r="F39" s="58"/>
      <c r="G39" s="59" t="str">
        <f t="shared" si="0"/>
        <v/>
      </c>
      <c r="H39" s="60">
        <f t="shared" si="1"/>
        <v>-200</v>
      </c>
      <c r="I39" s="56" t="str">
        <f t="shared" si="2"/>
        <v/>
      </c>
      <c r="J39" s="3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58"/>
      <c r="F40" s="58"/>
      <c r="G40" s="59" t="str">
        <f t="shared" si="0"/>
        <v/>
      </c>
      <c r="H40" s="60">
        <f t="shared" si="1"/>
        <v>-200</v>
      </c>
      <c r="I40" s="56" t="str">
        <f t="shared" si="2"/>
        <v/>
      </c>
      <c r="J40" s="3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58"/>
      <c r="F41" s="58"/>
      <c r="G41" s="59" t="str">
        <f t="shared" si="0"/>
        <v/>
      </c>
      <c r="H41" s="60">
        <f t="shared" si="1"/>
        <v>-200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58"/>
      <c r="F42" s="58"/>
      <c r="G42" s="59" t="str">
        <f t="shared" si="0"/>
        <v/>
      </c>
      <c r="H42" s="60">
        <f t="shared" si="1"/>
        <v>-200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58"/>
      <c r="F43" s="58"/>
      <c r="G43" s="59" t="str">
        <f t="shared" si="0"/>
        <v/>
      </c>
      <c r="H43" s="60">
        <f t="shared" si="1"/>
        <v>-200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58"/>
      <c r="F44" s="58"/>
      <c r="G44" s="59" t="str">
        <f t="shared" si="0"/>
        <v/>
      </c>
      <c r="H44" s="60">
        <f t="shared" si="1"/>
        <v>-200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58"/>
      <c r="F45" s="58"/>
      <c r="G45" s="59" t="str">
        <f t="shared" si="0"/>
        <v/>
      </c>
      <c r="H45" s="60">
        <f t="shared" si="1"/>
        <v>-200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58"/>
      <c r="F46" s="58"/>
      <c r="G46" s="59" t="str">
        <f t="shared" si="0"/>
        <v/>
      </c>
      <c r="H46" s="60">
        <f t="shared" si="1"/>
        <v>-200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58"/>
      <c r="F47" s="58"/>
      <c r="G47" s="59" t="str">
        <f t="shared" si="0"/>
        <v/>
      </c>
      <c r="H47" s="60">
        <f t="shared" si="1"/>
        <v>-200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58"/>
      <c r="F48" s="58"/>
      <c r="G48" s="59" t="str">
        <f t="shared" si="0"/>
        <v/>
      </c>
      <c r="H48" s="60">
        <f t="shared" si="1"/>
        <v>-200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58"/>
      <c r="F49" s="58"/>
      <c r="G49" s="59" t="str">
        <f t="shared" si="0"/>
        <v/>
      </c>
      <c r="H49" s="60">
        <f t="shared" si="1"/>
        <v>-200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58"/>
      <c r="F50" s="58"/>
      <c r="G50" s="59" t="str">
        <f t="shared" si="0"/>
        <v/>
      </c>
      <c r="H50" s="60">
        <f t="shared" si="1"/>
        <v>-200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58"/>
      <c r="F51" s="58"/>
      <c r="G51" s="59" t="str">
        <f t="shared" si="0"/>
        <v/>
      </c>
      <c r="H51" s="60">
        <f t="shared" si="1"/>
        <v>-200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58"/>
      <c r="F52" s="58"/>
      <c r="G52" s="59" t="str">
        <f t="shared" si="0"/>
        <v/>
      </c>
      <c r="H52" s="60">
        <f t="shared" si="1"/>
        <v>-200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58"/>
      <c r="F53" s="58"/>
      <c r="G53" s="59" t="str">
        <f t="shared" si="0"/>
        <v/>
      </c>
      <c r="H53" s="60">
        <f t="shared" si="1"/>
        <v>-200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58"/>
      <c r="F54" s="58"/>
      <c r="G54" s="59" t="str">
        <f t="shared" si="0"/>
        <v/>
      </c>
      <c r="H54" s="60">
        <f t="shared" si="1"/>
        <v>-200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58"/>
      <c r="F55" s="58"/>
      <c r="G55" s="59" t="str">
        <f t="shared" ref="G55:G86" si="4">IFERROR(IF(OR(E55="",F55=""),"",(E55-F55)*10000),"")</f>
        <v/>
      </c>
      <c r="H55" s="60">
        <f t="shared" ref="H55:H82" si="5">IFERROR(VLOOKUP(C55,$B$14:$C$18,2,FALSE()),"")</f>
        <v>-200</v>
      </c>
      <c r="I55" s="56" t="str">
        <f t="shared" ref="I55:I86" si="6">IFERROR(IF(OR(G55="",NOT(ISNUMBER(H55))),"",G55/H55),"")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58"/>
      <c r="F56" s="58"/>
      <c r="G56" s="59" t="str">
        <f t="shared" si="4"/>
        <v/>
      </c>
      <c r="H56" s="60">
        <f t="shared" si="5"/>
        <v>-200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58"/>
      <c r="F57" s="58"/>
      <c r="G57" s="59" t="str">
        <f t="shared" si="4"/>
        <v/>
      </c>
      <c r="H57" s="60">
        <f t="shared" si="5"/>
        <v>-200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58"/>
      <c r="F58" s="58"/>
      <c r="G58" s="59" t="str">
        <f t="shared" si="4"/>
        <v/>
      </c>
      <c r="H58" s="60">
        <f t="shared" si="5"/>
        <v>-200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58"/>
      <c r="F59" s="58"/>
      <c r="G59" s="59" t="str">
        <f t="shared" si="4"/>
        <v/>
      </c>
      <c r="H59" s="60">
        <f t="shared" si="5"/>
        <v>-200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58"/>
      <c r="F60" s="58"/>
      <c r="G60" s="59" t="str">
        <f t="shared" si="4"/>
        <v/>
      </c>
      <c r="H60" s="60">
        <f t="shared" si="5"/>
        <v>-200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58"/>
      <c r="F61" s="58"/>
      <c r="G61" s="59" t="str">
        <f t="shared" si="4"/>
        <v/>
      </c>
      <c r="H61" s="60">
        <f t="shared" si="5"/>
        <v>-200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58"/>
      <c r="F62" s="58"/>
      <c r="G62" s="59" t="str">
        <f t="shared" si="4"/>
        <v/>
      </c>
      <c r="H62" s="60">
        <f t="shared" si="5"/>
        <v>-200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58"/>
      <c r="F63" s="58"/>
      <c r="G63" s="59" t="str">
        <f t="shared" si="4"/>
        <v/>
      </c>
      <c r="H63" s="60">
        <f t="shared" si="5"/>
        <v>-200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58"/>
      <c r="F64" s="58"/>
      <c r="G64" s="59" t="str">
        <f t="shared" si="4"/>
        <v/>
      </c>
      <c r="H64" s="60">
        <f t="shared" si="5"/>
        <v>-200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58"/>
      <c r="F65" s="58"/>
      <c r="G65" s="59" t="str">
        <f t="shared" si="4"/>
        <v/>
      </c>
      <c r="H65" s="60">
        <f t="shared" si="5"/>
        <v>-200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58"/>
      <c r="F66" s="58"/>
      <c r="G66" s="59" t="str">
        <f t="shared" si="4"/>
        <v/>
      </c>
      <c r="H66" s="60">
        <f t="shared" si="5"/>
        <v>-200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58"/>
      <c r="F67" s="58"/>
      <c r="G67" s="59" t="str">
        <f t="shared" si="4"/>
        <v/>
      </c>
      <c r="H67" s="60">
        <f t="shared" si="5"/>
        <v>-200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58"/>
      <c r="F68" s="58"/>
      <c r="G68" s="59" t="str">
        <f t="shared" si="4"/>
        <v/>
      </c>
      <c r="H68" s="60">
        <f t="shared" si="5"/>
        <v>-200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58"/>
      <c r="F69" s="58"/>
      <c r="G69" s="59" t="str">
        <f t="shared" si="4"/>
        <v/>
      </c>
      <c r="H69" s="60">
        <f t="shared" si="5"/>
        <v>-200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58"/>
      <c r="F70" s="58"/>
      <c r="G70" s="59" t="str">
        <f t="shared" si="4"/>
        <v/>
      </c>
      <c r="H70" s="60">
        <f t="shared" si="5"/>
        <v>-200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58"/>
      <c r="F71" s="58"/>
      <c r="G71" s="59" t="str">
        <f t="shared" si="4"/>
        <v/>
      </c>
      <c r="H71" s="60">
        <f t="shared" si="5"/>
        <v>-200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58"/>
      <c r="F72" s="58"/>
      <c r="G72" s="59" t="str">
        <f t="shared" si="4"/>
        <v/>
      </c>
      <c r="H72" s="60">
        <f t="shared" si="5"/>
        <v>-200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58"/>
      <c r="F73" s="58"/>
      <c r="G73" s="59" t="str">
        <f t="shared" si="4"/>
        <v/>
      </c>
      <c r="H73" s="60">
        <f t="shared" si="5"/>
        <v>-200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58"/>
      <c r="F74" s="58"/>
      <c r="G74" s="59" t="str">
        <f t="shared" si="4"/>
        <v/>
      </c>
      <c r="H74" s="60">
        <f t="shared" si="5"/>
        <v>-200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58"/>
      <c r="F75" s="58"/>
      <c r="G75" s="59" t="str">
        <f t="shared" si="4"/>
        <v/>
      </c>
      <c r="H75" s="60">
        <f t="shared" si="5"/>
        <v>-200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58"/>
      <c r="F76" s="58"/>
      <c r="G76" s="59" t="str">
        <f t="shared" si="4"/>
        <v/>
      </c>
      <c r="H76" s="60">
        <f t="shared" si="5"/>
        <v>-200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58"/>
      <c r="F77" s="58"/>
      <c r="G77" s="59" t="str">
        <f t="shared" si="4"/>
        <v/>
      </c>
      <c r="H77" s="60">
        <f t="shared" si="5"/>
        <v>-200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58"/>
      <c r="F78" s="58"/>
      <c r="G78" s="59" t="str">
        <f t="shared" si="4"/>
        <v/>
      </c>
      <c r="H78" s="60">
        <f t="shared" si="5"/>
        <v>-200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58"/>
      <c r="F79" s="58"/>
      <c r="G79" s="59" t="str">
        <f t="shared" si="4"/>
        <v/>
      </c>
      <c r="H79" s="60">
        <f t="shared" si="5"/>
        <v>-200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58"/>
      <c r="F80" s="58"/>
      <c r="G80" s="59" t="str">
        <f t="shared" si="4"/>
        <v/>
      </c>
      <c r="H80" s="60">
        <f t="shared" si="5"/>
        <v>-200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58"/>
      <c r="F81" s="58"/>
      <c r="G81" s="59" t="str">
        <f t="shared" si="4"/>
        <v/>
      </c>
      <c r="H81" s="60">
        <f t="shared" si="5"/>
        <v>-200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58"/>
      <c r="F82" s="58"/>
      <c r="G82" s="59" t="str">
        <f t="shared" si="4"/>
        <v/>
      </c>
      <c r="H82" s="60">
        <f t="shared" si="5"/>
        <v>-200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153" priority="2">
      <formula>AND(ISNUMBER(I23),I23&gt;=0.95)</formula>
    </cfRule>
    <cfRule type="expression" dxfId="152" priority="3">
      <formula>AND(ISNUMBER(I23),I23&gt;=0.8,I23&lt;0.95)</formula>
    </cfRule>
    <cfRule type="expression" dxfId="151" priority="4">
      <formula>AND(ISNUMBER(I23),I23&lt;0.8)</formula>
    </cfRule>
  </conditionalFormatting>
  <conditionalFormatting sqref="J23:J82">
    <cfRule type="expression" dxfId="150" priority="5">
      <formula>J23="Cumple"</formula>
    </cfRule>
    <cfRule type="expression" dxfId="149" priority="6">
      <formula>J23="En riesgo"</formula>
    </cfRule>
    <cfRule type="expression" dxfId="148" priority="7">
      <formula>J23="Crítico"</formula>
    </cfRule>
    <cfRule type="expression" dxfId="147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6FB2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97" t="s">
        <v>245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94" t="s">
        <v>246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148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149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150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VLOOKUP("IND-05",Parámetros!$B$6:$F$30,5,FALSE())</f>
        <v>Cartera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0.05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0.05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0.05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0.05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0.05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247</v>
      </c>
      <c r="F22" s="21" t="s">
        <v>222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55">
        <v>45</v>
      </c>
      <c r="F23" s="55">
        <v>1000</v>
      </c>
      <c r="G23" s="56">
        <f t="shared" ref="G23:G54" si="0">IFERROR(IF(F23=0,"",E23/F23),"")</f>
        <v>4.4999999999999998E-2</v>
      </c>
      <c r="H23" s="57">
        <f t="shared" ref="H23:H54" si="1">IFERROR(VLOOKUP(C23,$B$14:$C$18,2,FALSE()),"")</f>
        <v>0.05</v>
      </c>
      <c r="I23" s="56">
        <f t="shared" ref="I23:I54" si="2">IFERROR(IF(OR(G23="",NOT(ISNUMBER(H23))),"",H23/G23),"")</f>
        <v>1.1111111111111112</v>
      </c>
      <c r="J23" s="32" t="str">
        <f t="shared" ref="J23:J54" si="3">IFERROR(IF(I23="","Pendiente",IF(I23&gt;=0.95,"Cumple",IF(I23&gt;=0.8,"En riesgo","Crítico"))),"Pendiente")</f>
        <v>Cumple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55">
        <v>46</v>
      </c>
      <c r="F24" s="55">
        <v>1000</v>
      </c>
      <c r="G24" s="56">
        <f t="shared" si="0"/>
        <v>4.5999999999999999E-2</v>
      </c>
      <c r="H24" s="57">
        <f t="shared" si="1"/>
        <v>0.05</v>
      </c>
      <c r="I24" s="56">
        <f t="shared" si="2"/>
        <v>1.0869565217391306</v>
      </c>
      <c r="J24" s="32" t="str">
        <f t="shared" si="3"/>
        <v>Cumple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55">
        <v>47</v>
      </c>
      <c r="F25" s="55">
        <v>1000</v>
      </c>
      <c r="G25" s="56">
        <f t="shared" si="0"/>
        <v>4.7E-2</v>
      </c>
      <c r="H25" s="57">
        <f t="shared" si="1"/>
        <v>0.05</v>
      </c>
      <c r="I25" s="56">
        <f t="shared" si="2"/>
        <v>1.0638297872340425</v>
      </c>
      <c r="J25" s="32" t="str">
        <f t="shared" si="3"/>
        <v>Cumple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55">
        <v>48</v>
      </c>
      <c r="F26" s="55">
        <v>1000</v>
      </c>
      <c r="G26" s="56">
        <f t="shared" si="0"/>
        <v>4.8000000000000001E-2</v>
      </c>
      <c r="H26" s="57">
        <f t="shared" si="1"/>
        <v>0.05</v>
      </c>
      <c r="I26" s="56">
        <f t="shared" si="2"/>
        <v>1.0416666666666667</v>
      </c>
      <c r="J26" s="32" t="str">
        <f t="shared" si="3"/>
        <v>Cumple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55">
        <v>49</v>
      </c>
      <c r="F27" s="55">
        <v>1000</v>
      </c>
      <c r="G27" s="56">
        <f t="shared" si="0"/>
        <v>4.9000000000000002E-2</v>
      </c>
      <c r="H27" s="57">
        <f t="shared" si="1"/>
        <v>0.05</v>
      </c>
      <c r="I27" s="56">
        <f t="shared" si="2"/>
        <v>1.0204081632653061</v>
      </c>
      <c r="J27" s="32" t="str">
        <f t="shared" si="3"/>
        <v>Cumple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55">
        <v>50</v>
      </c>
      <c r="F28" s="55">
        <v>1000</v>
      </c>
      <c r="G28" s="56">
        <f t="shared" si="0"/>
        <v>0.05</v>
      </c>
      <c r="H28" s="57">
        <f t="shared" si="1"/>
        <v>0.05</v>
      </c>
      <c r="I28" s="56">
        <f t="shared" si="2"/>
        <v>1</v>
      </c>
      <c r="J28" s="32" t="str">
        <f t="shared" si="3"/>
        <v>Cumple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55">
        <v>51</v>
      </c>
      <c r="F29" s="55">
        <v>1000</v>
      </c>
      <c r="G29" s="56">
        <f t="shared" si="0"/>
        <v>5.0999999999999997E-2</v>
      </c>
      <c r="H29" s="57">
        <f t="shared" si="1"/>
        <v>0.05</v>
      </c>
      <c r="I29" s="56">
        <f t="shared" si="2"/>
        <v>0.98039215686274517</v>
      </c>
      <c r="J29" s="32" t="str">
        <f t="shared" si="3"/>
        <v>Cumple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55">
        <v>52</v>
      </c>
      <c r="F30" s="55">
        <v>1000</v>
      </c>
      <c r="G30" s="56">
        <f t="shared" si="0"/>
        <v>5.1999999999999998E-2</v>
      </c>
      <c r="H30" s="57">
        <f t="shared" si="1"/>
        <v>0.05</v>
      </c>
      <c r="I30" s="56">
        <f t="shared" si="2"/>
        <v>0.96153846153846168</v>
      </c>
      <c r="J30" s="32" t="str">
        <f t="shared" si="3"/>
        <v>Cumple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55">
        <v>53</v>
      </c>
      <c r="F31" s="55">
        <v>1000</v>
      </c>
      <c r="G31" s="56">
        <f t="shared" si="0"/>
        <v>5.2999999999999999E-2</v>
      </c>
      <c r="H31" s="57">
        <f t="shared" si="1"/>
        <v>0.05</v>
      </c>
      <c r="I31" s="56">
        <f t="shared" si="2"/>
        <v>0.94339622641509446</v>
      </c>
      <c r="J31" s="32" t="str">
        <f t="shared" si="3"/>
        <v>En riesgo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55">
        <v>54</v>
      </c>
      <c r="F32" s="55">
        <v>1000</v>
      </c>
      <c r="G32" s="56">
        <f t="shared" si="0"/>
        <v>5.3999999999999999E-2</v>
      </c>
      <c r="H32" s="57">
        <f t="shared" si="1"/>
        <v>0.05</v>
      </c>
      <c r="I32" s="56">
        <f t="shared" si="2"/>
        <v>0.92592592592592604</v>
      </c>
      <c r="J32" s="32" t="str">
        <f t="shared" si="3"/>
        <v>En riesgo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55">
        <v>55</v>
      </c>
      <c r="F33" s="55">
        <v>1000</v>
      </c>
      <c r="G33" s="56">
        <f t="shared" si="0"/>
        <v>5.5E-2</v>
      </c>
      <c r="H33" s="57">
        <f t="shared" si="1"/>
        <v>0.05</v>
      </c>
      <c r="I33" s="56">
        <f t="shared" si="2"/>
        <v>0.90909090909090917</v>
      </c>
      <c r="J33" s="32" t="str">
        <f t="shared" si="3"/>
        <v>En riesgo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55">
        <v>56</v>
      </c>
      <c r="F34" s="55">
        <v>1000</v>
      </c>
      <c r="G34" s="56">
        <f t="shared" si="0"/>
        <v>5.6000000000000001E-2</v>
      </c>
      <c r="H34" s="57">
        <f t="shared" si="1"/>
        <v>0.05</v>
      </c>
      <c r="I34" s="56">
        <f t="shared" si="2"/>
        <v>0.8928571428571429</v>
      </c>
      <c r="J34" s="32" t="str">
        <f t="shared" si="3"/>
        <v>En riesgo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55">
        <v>100</v>
      </c>
      <c r="F35" s="55">
        <v>1000</v>
      </c>
      <c r="G35" s="56">
        <f t="shared" si="0"/>
        <v>0.1</v>
      </c>
      <c r="H35" s="57">
        <f t="shared" si="1"/>
        <v>0.05</v>
      </c>
      <c r="I35" s="56">
        <f t="shared" si="2"/>
        <v>0.5</v>
      </c>
      <c r="J35" s="32" t="str">
        <f t="shared" si="3"/>
        <v>Crítico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55">
        <v>100</v>
      </c>
      <c r="F36" s="55">
        <v>1000</v>
      </c>
      <c r="G36" s="56">
        <f t="shared" si="0"/>
        <v>0.1</v>
      </c>
      <c r="H36" s="57">
        <f t="shared" si="1"/>
        <v>0.05</v>
      </c>
      <c r="I36" s="56">
        <f t="shared" si="2"/>
        <v>0.5</v>
      </c>
      <c r="J36" s="32" t="str">
        <f t="shared" si="3"/>
        <v>Crítico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55">
        <v>100</v>
      </c>
      <c r="F37" s="55">
        <v>1000</v>
      </c>
      <c r="G37" s="56">
        <f t="shared" si="0"/>
        <v>0.1</v>
      </c>
      <c r="H37" s="57">
        <f t="shared" si="1"/>
        <v>0.05</v>
      </c>
      <c r="I37" s="56">
        <f t="shared" si="2"/>
        <v>0.5</v>
      </c>
      <c r="J37" s="32" t="str">
        <f t="shared" si="3"/>
        <v>Crítico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55"/>
      <c r="F38" s="55"/>
      <c r="G38" s="56" t="str">
        <f t="shared" si="0"/>
        <v/>
      </c>
      <c r="H38" s="57">
        <f t="shared" si="1"/>
        <v>0.05</v>
      </c>
      <c r="I38" s="56" t="str">
        <f t="shared" si="2"/>
        <v/>
      </c>
      <c r="J38" s="3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55"/>
      <c r="F39" s="55"/>
      <c r="G39" s="56" t="str">
        <f t="shared" si="0"/>
        <v/>
      </c>
      <c r="H39" s="57">
        <f t="shared" si="1"/>
        <v>0.05</v>
      </c>
      <c r="I39" s="56" t="str">
        <f t="shared" si="2"/>
        <v/>
      </c>
      <c r="J39" s="3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55"/>
      <c r="F40" s="55"/>
      <c r="G40" s="56" t="str">
        <f t="shared" si="0"/>
        <v/>
      </c>
      <c r="H40" s="57">
        <f t="shared" si="1"/>
        <v>0.05</v>
      </c>
      <c r="I40" s="56" t="str">
        <f t="shared" si="2"/>
        <v/>
      </c>
      <c r="J40" s="3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55"/>
      <c r="F41" s="55"/>
      <c r="G41" s="56" t="str">
        <f t="shared" si="0"/>
        <v/>
      </c>
      <c r="H41" s="57">
        <f t="shared" si="1"/>
        <v>0.05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55"/>
      <c r="F42" s="55"/>
      <c r="G42" s="56" t="str">
        <f t="shared" si="0"/>
        <v/>
      </c>
      <c r="H42" s="57">
        <f t="shared" si="1"/>
        <v>0.05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55"/>
      <c r="F43" s="55"/>
      <c r="G43" s="56" t="str">
        <f t="shared" si="0"/>
        <v/>
      </c>
      <c r="H43" s="57">
        <f t="shared" si="1"/>
        <v>0.05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55"/>
      <c r="F44" s="55"/>
      <c r="G44" s="56" t="str">
        <f t="shared" si="0"/>
        <v/>
      </c>
      <c r="H44" s="57">
        <f t="shared" si="1"/>
        <v>0.05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55"/>
      <c r="F45" s="55"/>
      <c r="G45" s="56" t="str">
        <f t="shared" si="0"/>
        <v/>
      </c>
      <c r="H45" s="57">
        <f t="shared" si="1"/>
        <v>0.05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55"/>
      <c r="F46" s="55"/>
      <c r="G46" s="56" t="str">
        <f t="shared" si="0"/>
        <v/>
      </c>
      <c r="H46" s="57">
        <f t="shared" si="1"/>
        <v>0.05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55"/>
      <c r="F47" s="55"/>
      <c r="G47" s="56" t="str">
        <f t="shared" si="0"/>
        <v/>
      </c>
      <c r="H47" s="57">
        <f t="shared" si="1"/>
        <v>0.05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55"/>
      <c r="F48" s="55"/>
      <c r="G48" s="56" t="str">
        <f t="shared" si="0"/>
        <v/>
      </c>
      <c r="H48" s="57">
        <f t="shared" si="1"/>
        <v>0.05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55"/>
      <c r="F49" s="55"/>
      <c r="G49" s="56" t="str">
        <f t="shared" si="0"/>
        <v/>
      </c>
      <c r="H49" s="57">
        <f t="shared" si="1"/>
        <v>0.05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55"/>
      <c r="F50" s="55"/>
      <c r="G50" s="56" t="str">
        <f t="shared" si="0"/>
        <v/>
      </c>
      <c r="H50" s="57">
        <f t="shared" si="1"/>
        <v>0.05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55"/>
      <c r="F51" s="55"/>
      <c r="G51" s="56" t="str">
        <f t="shared" si="0"/>
        <v/>
      </c>
      <c r="H51" s="57">
        <f t="shared" si="1"/>
        <v>0.05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55"/>
      <c r="F52" s="55"/>
      <c r="G52" s="56" t="str">
        <f t="shared" si="0"/>
        <v/>
      </c>
      <c r="H52" s="57">
        <f t="shared" si="1"/>
        <v>0.05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55"/>
      <c r="F53" s="55"/>
      <c r="G53" s="56" t="str">
        <f t="shared" si="0"/>
        <v/>
      </c>
      <c r="H53" s="57">
        <f t="shared" si="1"/>
        <v>0.05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55"/>
      <c r="F54" s="55"/>
      <c r="G54" s="56" t="str">
        <f t="shared" si="0"/>
        <v/>
      </c>
      <c r="H54" s="57">
        <f t="shared" si="1"/>
        <v>0.05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55"/>
      <c r="F55" s="55"/>
      <c r="G55" s="56" t="str">
        <f t="shared" ref="G55:G86" si="4">IFERROR(IF(F55=0,"",E55/F55),"")</f>
        <v/>
      </c>
      <c r="H55" s="57">
        <f t="shared" ref="H55:H82" si="5">IFERROR(VLOOKUP(C55,$B$14:$C$18,2,FALSE()),"")</f>
        <v>0.05</v>
      </c>
      <c r="I55" s="56" t="str">
        <f t="shared" ref="I55:I86" si="6">IFERROR(IF(OR(G55="",NOT(ISNUMBER(H55))),"",H55/G55),"")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55"/>
      <c r="F56" s="55"/>
      <c r="G56" s="56" t="str">
        <f t="shared" si="4"/>
        <v/>
      </c>
      <c r="H56" s="57">
        <f t="shared" si="5"/>
        <v>0.05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55"/>
      <c r="F57" s="55"/>
      <c r="G57" s="56" t="str">
        <f t="shared" si="4"/>
        <v/>
      </c>
      <c r="H57" s="57">
        <f t="shared" si="5"/>
        <v>0.05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55"/>
      <c r="F58" s="55"/>
      <c r="G58" s="56" t="str">
        <f t="shared" si="4"/>
        <v/>
      </c>
      <c r="H58" s="57">
        <f t="shared" si="5"/>
        <v>0.05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55"/>
      <c r="F59" s="55"/>
      <c r="G59" s="56" t="str">
        <f t="shared" si="4"/>
        <v/>
      </c>
      <c r="H59" s="57">
        <f t="shared" si="5"/>
        <v>0.05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55"/>
      <c r="F60" s="55"/>
      <c r="G60" s="56" t="str">
        <f t="shared" si="4"/>
        <v/>
      </c>
      <c r="H60" s="57">
        <f t="shared" si="5"/>
        <v>0.05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55"/>
      <c r="F61" s="55"/>
      <c r="G61" s="56" t="str">
        <f t="shared" si="4"/>
        <v/>
      </c>
      <c r="H61" s="57">
        <f t="shared" si="5"/>
        <v>0.05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55"/>
      <c r="F62" s="55"/>
      <c r="G62" s="56" t="str">
        <f t="shared" si="4"/>
        <v/>
      </c>
      <c r="H62" s="57">
        <f t="shared" si="5"/>
        <v>0.05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55"/>
      <c r="F63" s="55"/>
      <c r="G63" s="56" t="str">
        <f t="shared" si="4"/>
        <v/>
      </c>
      <c r="H63" s="57">
        <f t="shared" si="5"/>
        <v>0.05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55"/>
      <c r="F64" s="55"/>
      <c r="G64" s="56" t="str">
        <f t="shared" si="4"/>
        <v/>
      </c>
      <c r="H64" s="57">
        <f t="shared" si="5"/>
        <v>0.05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55"/>
      <c r="F65" s="55"/>
      <c r="G65" s="56" t="str">
        <f t="shared" si="4"/>
        <v/>
      </c>
      <c r="H65" s="57">
        <f t="shared" si="5"/>
        <v>0.05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55"/>
      <c r="F66" s="55"/>
      <c r="G66" s="56" t="str">
        <f t="shared" si="4"/>
        <v/>
      </c>
      <c r="H66" s="57">
        <f t="shared" si="5"/>
        <v>0.05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55"/>
      <c r="F67" s="55"/>
      <c r="G67" s="56" t="str">
        <f t="shared" si="4"/>
        <v/>
      </c>
      <c r="H67" s="57">
        <f t="shared" si="5"/>
        <v>0.05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55"/>
      <c r="F68" s="55"/>
      <c r="G68" s="56" t="str">
        <f t="shared" si="4"/>
        <v/>
      </c>
      <c r="H68" s="57">
        <f t="shared" si="5"/>
        <v>0.05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55"/>
      <c r="F69" s="55"/>
      <c r="G69" s="56" t="str">
        <f t="shared" si="4"/>
        <v/>
      </c>
      <c r="H69" s="57">
        <f t="shared" si="5"/>
        <v>0.05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55"/>
      <c r="F70" s="55"/>
      <c r="G70" s="56" t="str">
        <f t="shared" si="4"/>
        <v/>
      </c>
      <c r="H70" s="57">
        <f t="shared" si="5"/>
        <v>0.05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55"/>
      <c r="F71" s="55"/>
      <c r="G71" s="56" t="str">
        <f t="shared" si="4"/>
        <v/>
      </c>
      <c r="H71" s="57">
        <f t="shared" si="5"/>
        <v>0.05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55"/>
      <c r="F72" s="55"/>
      <c r="G72" s="56" t="str">
        <f t="shared" si="4"/>
        <v/>
      </c>
      <c r="H72" s="57">
        <f t="shared" si="5"/>
        <v>0.05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55"/>
      <c r="F73" s="55"/>
      <c r="G73" s="56" t="str">
        <f t="shared" si="4"/>
        <v/>
      </c>
      <c r="H73" s="57">
        <f t="shared" si="5"/>
        <v>0.05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55"/>
      <c r="F74" s="55"/>
      <c r="G74" s="56" t="str">
        <f t="shared" si="4"/>
        <v/>
      </c>
      <c r="H74" s="57">
        <f t="shared" si="5"/>
        <v>0.05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55"/>
      <c r="F75" s="55"/>
      <c r="G75" s="56" t="str">
        <f t="shared" si="4"/>
        <v/>
      </c>
      <c r="H75" s="57">
        <f t="shared" si="5"/>
        <v>0.05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55"/>
      <c r="F76" s="55"/>
      <c r="G76" s="56" t="str">
        <f t="shared" si="4"/>
        <v/>
      </c>
      <c r="H76" s="57">
        <f t="shared" si="5"/>
        <v>0.05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55"/>
      <c r="F77" s="55"/>
      <c r="G77" s="56" t="str">
        <f t="shared" si="4"/>
        <v/>
      </c>
      <c r="H77" s="57">
        <f t="shared" si="5"/>
        <v>0.05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55"/>
      <c r="F78" s="55"/>
      <c r="G78" s="56" t="str">
        <f t="shared" si="4"/>
        <v/>
      </c>
      <c r="H78" s="57">
        <f t="shared" si="5"/>
        <v>0.05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55"/>
      <c r="F79" s="55"/>
      <c r="G79" s="56" t="str">
        <f t="shared" si="4"/>
        <v/>
      </c>
      <c r="H79" s="57">
        <f t="shared" si="5"/>
        <v>0.05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55"/>
      <c r="F80" s="55"/>
      <c r="G80" s="56" t="str">
        <f t="shared" si="4"/>
        <v/>
      </c>
      <c r="H80" s="57">
        <f t="shared" si="5"/>
        <v>0.05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55"/>
      <c r="F81" s="55"/>
      <c r="G81" s="56" t="str">
        <f t="shared" si="4"/>
        <v/>
      </c>
      <c r="H81" s="57">
        <f t="shared" si="5"/>
        <v>0.05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55"/>
      <c r="F82" s="55"/>
      <c r="G82" s="56" t="str">
        <f t="shared" si="4"/>
        <v/>
      </c>
      <c r="H82" s="57">
        <f t="shared" si="5"/>
        <v>0.05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146" priority="2">
      <formula>AND(ISNUMBER(I23),I23&gt;=0.95)</formula>
    </cfRule>
    <cfRule type="expression" dxfId="145" priority="3">
      <formula>AND(ISNUMBER(I23),I23&gt;=0.8,I23&lt;0.95)</formula>
    </cfRule>
    <cfRule type="expression" dxfId="144" priority="4">
      <formula>AND(ISNUMBER(I23),I23&lt;0.8)</formula>
    </cfRule>
  </conditionalFormatting>
  <conditionalFormatting sqref="J23:J82">
    <cfRule type="expression" dxfId="143" priority="5">
      <formula>J23="Cumple"</formula>
    </cfRule>
    <cfRule type="expression" dxfId="142" priority="6">
      <formula>J23="En riesgo"</formula>
    </cfRule>
    <cfRule type="expression" dxfId="141" priority="7">
      <formula>J23="Crítico"</formula>
    </cfRule>
    <cfRule type="expression" dxfId="140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6FB2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97" t="s">
        <v>248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94" t="s">
        <v>246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151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152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VLOOKUP("IND-06",Parámetros!$B$6:$F$30,5,FALSE())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0.3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0.3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0.3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0.3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0.3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249</v>
      </c>
      <c r="F22" s="21" t="s">
        <v>250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55"/>
      <c r="F23" s="55"/>
      <c r="G23" s="56" t="str">
        <f t="shared" ref="G23:G54" si="0">IFERROR(IF(F23=0,"",E23/F23),"")</f>
        <v/>
      </c>
      <c r="H23" s="57">
        <f t="shared" ref="H23:H54" si="1">IFERROR(VLOOKUP(C23,$B$14:$C$18,2,FALSE()),"")</f>
        <v>0.3</v>
      </c>
      <c r="I23" s="56" t="str">
        <f t="shared" ref="I23:I54" si="2">IFERROR(IF(OR(G23="",NOT(ISNUMBER(H23))),"",G23/H23),"")</f>
        <v/>
      </c>
      <c r="J23" s="32" t="str">
        <f t="shared" ref="J23:J54" si="3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55"/>
      <c r="F24" s="55"/>
      <c r="G24" s="56" t="str">
        <f t="shared" si="0"/>
        <v/>
      </c>
      <c r="H24" s="57">
        <f t="shared" si="1"/>
        <v>0.3</v>
      </c>
      <c r="I24" s="56" t="str">
        <f t="shared" si="2"/>
        <v/>
      </c>
      <c r="J24" s="32" t="str">
        <f t="shared" si="3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55"/>
      <c r="F25" s="55"/>
      <c r="G25" s="56" t="str">
        <f t="shared" si="0"/>
        <v/>
      </c>
      <c r="H25" s="57">
        <f t="shared" si="1"/>
        <v>0.3</v>
      </c>
      <c r="I25" s="56" t="str">
        <f t="shared" si="2"/>
        <v/>
      </c>
      <c r="J25" s="32" t="str">
        <f t="shared" si="3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55"/>
      <c r="F26" s="55"/>
      <c r="G26" s="56" t="str">
        <f t="shared" si="0"/>
        <v/>
      </c>
      <c r="H26" s="57">
        <f t="shared" si="1"/>
        <v>0.3</v>
      </c>
      <c r="I26" s="56" t="str">
        <f t="shared" si="2"/>
        <v/>
      </c>
      <c r="J26" s="32" t="str">
        <f t="shared" si="3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55"/>
      <c r="F27" s="55"/>
      <c r="G27" s="56" t="str">
        <f t="shared" si="0"/>
        <v/>
      </c>
      <c r="H27" s="57">
        <f t="shared" si="1"/>
        <v>0.3</v>
      </c>
      <c r="I27" s="56" t="str">
        <f t="shared" si="2"/>
        <v/>
      </c>
      <c r="J27" s="32" t="str">
        <f t="shared" si="3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55"/>
      <c r="F28" s="55"/>
      <c r="G28" s="56" t="str">
        <f t="shared" si="0"/>
        <v/>
      </c>
      <c r="H28" s="57">
        <f t="shared" si="1"/>
        <v>0.3</v>
      </c>
      <c r="I28" s="56" t="str">
        <f t="shared" si="2"/>
        <v/>
      </c>
      <c r="J28" s="32" t="str">
        <f t="shared" si="3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55"/>
      <c r="F29" s="55"/>
      <c r="G29" s="56" t="str">
        <f t="shared" si="0"/>
        <v/>
      </c>
      <c r="H29" s="57">
        <f t="shared" si="1"/>
        <v>0.3</v>
      </c>
      <c r="I29" s="56" t="str">
        <f t="shared" si="2"/>
        <v/>
      </c>
      <c r="J29" s="32" t="str">
        <f t="shared" si="3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55"/>
      <c r="F30" s="55"/>
      <c r="G30" s="56" t="str">
        <f t="shared" si="0"/>
        <v/>
      </c>
      <c r="H30" s="57">
        <f t="shared" si="1"/>
        <v>0.3</v>
      </c>
      <c r="I30" s="56" t="str">
        <f t="shared" si="2"/>
        <v/>
      </c>
      <c r="J30" s="32" t="str">
        <f t="shared" si="3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55"/>
      <c r="F31" s="55"/>
      <c r="G31" s="56" t="str">
        <f t="shared" si="0"/>
        <v/>
      </c>
      <c r="H31" s="57">
        <f t="shared" si="1"/>
        <v>0.3</v>
      </c>
      <c r="I31" s="56" t="str">
        <f t="shared" si="2"/>
        <v/>
      </c>
      <c r="J31" s="32" t="str">
        <f t="shared" si="3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55"/>
      <c r="F32" s="55"/>
      <c r="G32" s="56" t="str">
        <f t="shared" si="0"/>
        <v/>
      </c>
      <c r="H32" s="57">
        <f t="shared" si="1"/>
        <v>0.3</v>
      </c>
      <c r="I32" s="56" t="str">
        <f t="shared" si="2"/>
        <v/>
      </c>
      <c r="J32" s="32" t="str">
        <f t="shared" si="3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55"/>
      <c r="F33" s="55"/>
      <c r="G33" s="56" t="str">
        <f t="shared" si="0"/>
        <v/>
      </c>
      <c r="H33" s="57">
        <f t="shared" si="1"/>
        <v>0.3</v>
      </c>
      <c r="I33" s="56" t="str">
        <f t="shared" si="2"/>
        <v/>
      </c>
      <c r="J33" s="32" t="str">
        <f t="shared" si="3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55"/>
      <c r="F34" s="55"/>
      <c r="G34" s="56" t="str">
        <f t="shared" si="0"/>
        <v/>
      </c>
      <c r="H34" s="57">
        <f t="shared" si="1"/>
        <v>0.3</v>
      </c>
      <c r="I34" s="56" t="str">
        <f t="shared" si="2"/>
        <v/>
      </c>
      <c r="J34" s="32" t="str">
        <f t="shared" si="3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55"/>
      <c r="F35" s="55"/>
      <c r="G35" s="56" t="str">
        <f t="shared" si="0"/>
        <v/>
      </c>
      <c r="H35" s="57">
        <f t="shared" si="1"/>
        <v>0.3</v>
      </c>
      <c r="I35" s="56" t="str">
        <f t="shared" si="2"/>
        <v/>
      </c>
      <c r="J35" s="32" t="str">
        <f t="shared" si="3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55"/>
      <c r="F36" s="55"/>
      <c r="G36" s="56" t="str">
        <f t="shared" si="0"/>
        <v/>
      </c>
      <c r="H36" s="57">
        <f t="shared" si="1"/>
        <v>0.3</v>
      </c>
      <c r="I36" s="56" t="str">
        <f t="shared" si="2"/>
        <v/>
      </c>
      <c r="J36" s="32" t="str">
        <f t="shared" si="3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55"/>
      <c r="F37" s="55"/>
      <c r="G37" s="56" t="str">
        <f t="shared" si="0"/>
        <v/>
      </c>
      <c r="H37" s="57">
        <f t="shared" si="1"/>
        <v>0.3</v>
      </c>
      <c r="I37" s="56" t="str">
        <f t="shared" si="2"/>
        <v/>
      </c>
      <c r="J37" s="32" t="str">
        <f t="shared" si="3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55"/>
      <c r="F38" s="55"/>
      <c r="G38" s="56" t="str">
        <f t="shared" si="0"/>
        <v/>
      </c>
      <c r="H38" s="57">
        <f t="shared" si="1"/>
        <v>0.3</v>
      </c>
      <c r="I38" s="56" t="str">
        <f t="shared" si="2"/>
        <v/>
      </c>
      <c r="J38" s="3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55"/>
      <c r="F39" s="55"/>
      <c r="G39" s="56" t="str">
        <f t="shared" si="0"/>
        <v/>
      </c>
      <c r="H39" s="57">
        <f t="shared" si="1"/>
        <v>0.3</v>
      </c>
      <c r="I39" s="56" t="str">
        <f t="shared" si="2"/>
        <v/>
      </c>
      <c r="J39" s="3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55"/>
      <c r="F40" s="55"/>
      <c r="G40" s="56" t="str">
        <f t="shared" si="0"/>
        <v/>
      </c>
      <c r="H40" s="57">
        <f t="shared" si="1"/>
        <v>0.3</v>
      </c>
      <c r="I40" s="56" t="str">
        <f t="shared" si="2"/>
        <v/>
      </c>
      <c r="J40" s="3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55"/>
      <c r="F41" s="55"/>
      <c r="G41" s="56" t="str">
        <f t="shared" si="0"/>
        <v/>
      </c>
      <c r="H41" s="57">
        <f t="shared" si="1"/>
        <v>0.3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55"/>
      <c r="F42" s="55"/>
      <c r="G42" s="56" t="str">
        <f t="shared" si="0"/>
        <v/>
      </c>
      <c r="H42" s="57">
        <f t="shared" si="1"/>
        <v>0.3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55"/>
      <c r="F43" s="55"/>
      <c r="G43" s="56" t="str">
        <f t="shared" si="0"/>
        <v/>
      </c>
      <c r="H43" s="57">
        <f t="shared" si="1"/>
        <v>0.3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55"/>
      <c r="F44" s="55"/>
      <c r="G44" s="56" t="str">
        <f t="shared" si="0"/>
        <v/>
      </c>
      <c r="H44" s="57">
        <f t="shared" si="1"/>
        <v>0.3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55"/>
      <c r="F45" s="55"/>
      <c r="G45" s="56" t="str">
        <f t="shared" si="0"/>
        <v/>
      </c>
      <c r="H45" s="57">
        <f t="shared" si="1"/>
        <v>0.3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55"/>
      <c r="F46" s="55"/>
      <c r="G46" s="56" t="str">
        <f t="shared" si="0"/>
        <v/>
      </c>
      <c r="H46" s="57">
        <f t="shared" si="1"/>
        <v>0.3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55"/>
      <c r="F47" s="55"/>
      <c r="G47" s="56" t="str">
        <f t="shared" si="0"/>
        <v/>
      </c>
      <c r="H47" s="57">
        <f t="shared" si="1"/>
        <v>0.3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55"/>
      <c r="F48" s="55"/>
      <c r="G48" s="56" t="str">
        <f t="shared" si="0"/>
        <v/>
      </c>
      <c r="H48" s="57">
        <f t="shared" si="1"/>
        <v>0.3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55"/>
      <c r="F49" s="55"/>
      <c r="G49" s="56" t="str">
        <f t="shared" si="0"/>
        <v/>
      </c>
      <c r="H49" s="57">
        <f t="shared" si="1"/>
        <v>0.3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55"/>
      <c r="F50" s="55"/>
      <c r="G50" s="56" t="str">
        <f t="shared" si="0"/>
        <v/>
      </c>
      <c r="H50" s="57">
        <f t="shared" si="1"/>
        <v>0.3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55"/>
      <c r="F51" s="55"/>
      <c r="G51" s="56" t="str">
        <f t="shared" si="0"/>
        <v/>
      </c>
      <c r="H51" s="57">
        <f t="shared" si="1"/>
        <v>0.3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55"/>
      <c r="F52" s="55"/>
      <c r="G52" s="56" t="str">
        <f t="shared" si="0"/>
        <v/>
      </c>
      <c r="H52" s="57">
        <f t="shared" si="1"/>
        <v>0.3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55"/>
      <c r="F53" s="55"/>
      <c r="G53" s="56" t="str">
        <f t="shared" si="0"/>
        <v/>
      </c>
      <c r="H53" s="57">
        <f t="shared" si="1"/>
        <v>0.3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55"/>
      <c r="F54" s="55"/>
      <c r="G54" s="56" t="str">
        <f t="shared" si="0"/>
        <v/>
      </c>
      <c r="H54" s="57">
        <f t="shared" si="1"/>
        <v>0.3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55"/>
      <c r="F55" s="55"/>
      <c r="G55" s="56" t="str">
        <f t="shared" ref="G55:G86" si="4">IFERROR(IF(F55=0,"",E55/F55),"")</f>
        <v/>
      </c>
      <c r="H55" s="57">
        <f t="shared" ref="H55:H82" si="5">IFERROR(VLOOKUP(C55,$B$14:$C$18,2,FALSE()),"")</f>
        <v>0.3</v>
      </c>
      <c r="I55" s="56" t="str">
        <f t="shared" ref="I55:I86" si="6">IFERROR(IF(OR(G55="",NOT(ISNUMBER(H55))),"",G55/H55),"")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55"/>
      <c r="F56" s="55"/>
      <c r="G56" s="56" t="str">
        <f t="shared" si="4"/>
        <v/>
      </c>
      <c r="H56" s="57">
        <f t="shared" si="5"/>
        <v>0.3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55"/>
      <c r="F57" s="55"/>
      <c r="G57" s="56" t="str">
        <f t="shared" si="4"/>
        <v/>
      </c>
      <c r="H57" s="57">
        <f t="shared" si="5"/>
        <v>0.3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55"/>
      <c r="F58" s="55"/>
      <c r="G58" s="56" t="str">
        <f t="shared" si="4"/>
        <v/>
      </c>
      <c r="H58" s="57">
        <f t="shared" si="5"/>
        <v>0.3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55"/>
      <c r="F59" s="55"/>
      <c r="G59" s="56" t="str">
        <f t="shared" si="4"/>
        <v/>
      </c>
      <c r="H59" s="57">
        <f t="shared" si="5"/>
        <v>0.3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55"/>
      <c r="F60" s="55"/>
      <c r="G60" s="56" t="str">
        <f t="shared" si="4"/>
        <v/>
      </c>
      <c r="H60" s="57">
        <f t="shared" si="5"/>
        <v>0.3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55"/>
      <c r="F61" s="55"/>
      <c r="G61" s="56" t="str">
        <f t="shared" si="4"/>
        <v/>
      </c>
      <c r="H61" s="57">
        <f t="shared" si="5"/>
        <v>0.3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55"/>
      <c r="F62" s="55"/>
      <c r="G62" s="56" t="str">
        <f t="shared" si="4"/>
        <v/>
      </c>
      <c r="H62" s="57">
        <f t="shared" si="5"/>
        <v>0.3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55"/>
      <c r="F63" s="55"/>
      <c r="G63" s="56" t="str">
        <f t="shared" si="4"/>
        <v/>
      </c>
      <c r="H63" s="57">
        <f t="shared" si="5"/>
        <v>0.3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55"/>
      <c r="F64" s="55"/>
      <c r="G64" s="56" t="str">
        <f t="shared" si="4"/>
        <v/>
      </c>
      <c r="H64" s="57">
        <f t="shared" si="5"/>
        <v>0.3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55"/>
      <c r="F65" s="55"/>
      <c r="G65" s="56" t="str">
        <f t="shared" si="4"/>
        <v/>
      </c>
      <c r="H65" s="57">
        <f t="shared" si="5"/>
        <v>0.3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55"/>
      <c r="F66" s="55"/>
      <c r="G66" s="56" t="str">
        <f t="shared" si="4"/>
        <v/>
      </c>
      <c r="H66" s="57">
        <f t="shared" si="5"/>
        <v>0.3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55"/>
      <c r="F67" s="55"/>
      <c r="G67" s="56" t="str">
        <f t="shared" si="4"/>
        <v/>
      </c>
      <c r="H67" s="57">
        <f t="shared" si="5"/>
        <v>0.3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55"/>
      <c r="F68" s="55"/>
      <c r="G68" s="56" t="str">
        <f t="shared" si="4"/>
        <v/>
      </c>
      <c r="H68" s="57">
        <f t="shared" si="5"/>
        <v>0.3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55"/>
      <c r="F69" s="55"/>
      <c r="G69" s="56" t="str">
        <f t="shared" si="4"/>
        <v/>
      </c>
      <c r="H69" s="57">
        <f t="shared" si="5"/>
        <v>0.3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55"/>
      <c r="F70" s="55"/>
      <c r="G70" s="56" t="str">
        <f t="shared" si="4"/>
        <v/>
      </c>
      <c r="H70" s="57">
        <f t="shared" si="5"/>
        <v>0.3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55"/>
      <c r="F71" s="55"/>
      <c r="G71" s="56" t="str">
        <f t="shared" si="4"/>
        <v/>
      </c>
      <c r="H71" s="57">
        <f t="shared" si="5"/>
        <v>0.3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55"/>
      <c r="F72" s="55"/>
      <c r="G72" s="56" t="str">
        <f t="shared" si="4"/>
        <v/>
      </c>
      <c r="H72" s="57">
        <f t="shared" si="5"/>
        <v>0.3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55"/>
      <c r="F73" s="55"/>
      <c r="G73" s="56" t="str">
        <f t="shared" si="4"/>
        <v/>
      </c>
      <c r="H73" s="57">
        <f t="shared" si="5"/>
        <v>0.3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55"/>
      <c r="F74" s="55"/>
      <c r="G74" s="56" t="str">
        <f t="shared" si="4"/>
        <v/>
      </c>
      <c r="H74" s="57">
        <f t="shared" si="5"/>
        <v>0.3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55"/>
      <c r="F75" s="55"/>
      <c r="G75" s="56" t="str">
        <f t="shared" si="4"/>
        <v/>
      </c>
      <c r="H75" s="57">
        <f t="shared" si="5"/>
        <v>0.3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55"/>
      <c r="F76" s="55"/>
      <c r="G76" s="56" t="str">
        <f t="shared" si="4"/>
        <v/>
      </c>
      <c r="H76" s="57">
        <f t="shared" si="5"/>
        <v>0.3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55"/>
      <c r="F77" s="55"/>
      <c r="G77" s="56" t="str">
        <f t="shared" si="4"/>
        <v/>
      </c>
      <c r="H77" s="57">
        <f t="shared" si="5"/>
        <v>0.3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55"/>
      <c r="F78" s="55"/>
      <c r="G78" s="56" t="str">
        <f t="shared" si="4"/>
        <v/>
      </c>
      <c r="H78" s="57">
        <f t="shared" si="5"/>
        <v>0.3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55"/>
      <c r="F79" s="55"/>
      <c r="G79" s="56" t="str">
        <f t="shared" si="4"/>
        <v/>
      </c>
      <c r="H79" s="57">
        <f t="shared" si="5"/>
        <v>0.3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55"/>
      <c r="F80" s="55"/>
      <c r="G80" s="56" t="str">
        <f t="shared" si="4"/>
        <v/>
      </c>
      <c r="H80" s="57">
        <f t="shared" si="5"/>
        <v>0.3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55"/>
      <c r="F81" s="55"/>
      <c r="G81" s="56" t="str">
        <f t="shared" si="4"/>
        <v/>
      </c>
      <c r="H81" s="57">
        <f t="shared" si="5"/>
        <v>0.3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55"/>
      <c r="F82" s="55"/>
      <c r="G82" s="56" t="str">
        <f t="shared" si="4"/>
        <v/>
      </c>
      <c r="H82" s="57">
        <f t="shared" si="5"/>
        <v>0.3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139" priority="2">
      <formula>AND(ISNUMBER(I23),I23&gt;=0.95)</formula>
    </cfRule>
    <cfRule type="expression" dxfId="138" priority="3">
      <formula>AND(ISNUMBER(I23),I23&gt;=0.8,I23&lt;0.95)</formula>
    </cfRule>
    <cfRule type="expression" dxfId="137" priority="4">
      <formula>AND(ISNUMBER(I23),I23&lt;0.8)</formula>
    </cfRule>
  </conditionalFormatting>
  <conditionalFormatting sqref="J23:J82">
    <cfRule type="expression" dxfId="136" priority="5">
      <formula>J23="Cumple"</formula>
    </cfRule>
    <cfRule type="expression" dxfId="135" priority="6">
      <formula>J23="En riesgo"</formula>
    </cfRule>
    <cfRule type="expression" dxfId="134" priority="7">
      <formula>J23="Crítico"</formula>
    </cfRule>
    <cfRule type="expression" dxfId="133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6FB2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97" t="s">
        <v>251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94" t="s">
        <v>246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153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154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VLOOKUP("IND-07",Parámetros!$B$6:$F$30,5,FALSE())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0.8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0.8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0.8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0.8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0.8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252</v>
      </c>
      <c r="F22" s="21" t="s">
        <v>253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55"/>
      <c r="F23" s="55"/>
      <c r="G23" s="56" t="str">
        <f t="shared" ref="G23:G54" si="0">IFERROR(IF(F23=0,"",E23/F23),"")</f>
        <v/>
      </c>
      <c r="H23" s="57">
        <f t="shared" ref="H23:H54" si="1">IFERROR(VLOOKUP(C23,$B$14:$C$18,2,FALSE()),"")</f>
        <v>0.8</v>
      </c>
      <c r="I23" s="56" t="str">
        <f t="shared" ref="I23:I54" si="2">IFERROR(IF(OR(G23="",NOT(ISNUMBER(H23))),"",G23/H23),"")</f>
        <v/>
      </c>
      <c r="J23" s="32" t="str">
        <f t="shared" ref="J23:J54" si="3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55"/>
      <c r="F24" s="55"/>
      <c r="G24" s="56" t="str">
        <f t="shared" si="0"/>
        <v/>
      </c>
      <c r="H24" s="57">
        <f t="shared" si="1"/>
        <v>0.8</v>
      </c>
      <c r="I24" s="56" t="str">
        <f t="shared" si="2"/>
        <v/>
      </c>
      <c r="J24" s="32" t="str">
        <f t="shared" si="3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55"/>
      <c r="F25" s="55"/>
      <c r="G25" s="56" t="str">
        <f t="shared" si="0"/>
        <v/>
      </c>
      <c r="H25" s="57">
        <f t="shared" si="1"/>
        <v>0.8</v>
      </c>
      <c r="I25" s="56" t="str">
        <f t="shared" si="2"/>
        <v/>
      </c>
      <c r="J25" s="32" t="str">
        <f t="shared" si="3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55"/>
      <c r="F26" s="55"/>
      <c r="G26" s="56" t="str">
        <f t="shared" si="0"/>
        <v/>
      </c>
      <c r="H26" s="57">
        <f t="shared" si="1"/>
        <v>0.8</v>
      </c>
      <c r="I26" s="56" t="str">
        <f t="shared" si="2"/>
        <v/>
      </c>
      <c r="J26" s="32" t="str">
        <f t="shared" si="3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55"/>
      <c r="F27" s="55"/>
      <c r="G27" s="56" t="str">
        <f t="shared" si="0"/>
        <v/>
      </c>
      <c r="H27" s="57">
        <f t="shared" si="1"/>
        <v>0.8</v>
      </c>
      <c r="I27" s="56" t="str">
        <f t="shared" si="2"/>
        <v/>
      </c>
      <c r="J27" s="32" t="str">
        <f t="shared" si="3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55"/>
      <c r="F28" s="55"/>
      <c r="G28" s="56" t="str">
        <f t="shared" si="0"/>
        <v/>
      </c>
      <c r="H28" s="57">
        <f t="shared" si="1"/>
        <v>0.8</v>
      </c>
      <c r="I28" s="56" t="str">
        <f t="shared" si="2"/>
        <v/>
      </c>
      <c r="J28" s="32" t="str">
        <f t="shared" si="3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55"/>
      <c r="F29" s="55"/>
      <c r="G29" s="56" t="str">
        <f t="shared" si="0"/>
        <v/>
      </c>
      <c r="H29" s="57">
        <f t="shared" si="1"/>
        <v>0.8</v>
      </c>
      <c r="I29" s="56" t="str">
        <f t="shared" si="2"/>
        <v/>
      </c>
      <c r="J29" s="32" t="str">
        <f t="shared" si="3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55"/>
      <c r="F30" s="55"/>
      <c r="G30" s="56" t="str">
        <f t="shared" si="0"/>
        <v/>
      </c>
      <c r="H30" s="57">
        <f t="shared" si="1"/>
        <v>0.8</v>
      </c>
      <c r="I30" s="56" t="str">
        <f t="shared" si="2"/>
        <v/>
      </c>
      <c r="J30" s="32" t="str">
        <f t="shared" si="3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55"/>
      <c r="F31" s="55"/>
      <c r="G31" s="56" t="str">
        <f t="shared" si="0"/>
        <v/>
      </c>
      <c r="H31" s="57">
        <f t="shared" si="1"/>
        <v>0.8</v>
      </c>
      <c r="I31" s="56" t="str">
        <f t="shared" si="2"/>
        <v/>
      </c>
      <c r="J31" s="32" t="str">
        <f t="shared" si="3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55"/>
      <c r="F32" s="55"/>
      <c r="G32" s="56" t="str">
        <f t="shared" si="0"/>
        <v/>
      </c>
      <c r="H32" s="57">
        <f t="shared" si="1"/>
        <v>0.8</v>
      </c>
      <c r="I32" s="56" t="str">
        <f t="shared" si="2"/>
        <v/>
      </c>
      <c r="J32" s="32" t="str">
        <f t="shared" si="3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55"/>
      <c r="F33" s="55"/>
      <c r="G33" s="56" t="str">
        <f t="shared" si="0"/>
        <v/>
      </c>
      <c r="H33" s="57">
        <f t="shared" si="1"/>
        <v>0.8</v>
      </c>
      <c r="I33" s="56" t="str">
        <f t="shared" si="2"/>
        <v/>
      </c>
      <c r="J33" s="32" t="str">
        <f t="shared" si="3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55"/>
      <c r="F34" s="55"/>
      <c r="G34" s="56" t="str">
        <f t="shared" si="0"/>
        <v/>
      </c>
      <c r="H34" s="57">
        <f t="shared" si="1"/>
        <v>0.8</v>
      </c>
      <c r="I34" s="56" t="str">
        <f t="shared" si="2"/>
        <v/>
      </c>
      <c r="J34" s="32" t="str">
        <f t="shared" si="3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55"/>
      <c r="F35" s="55"/>
      <c r="G35" s="56" t="str">
        <f t="shared" si="0"/>
        <v/>
      </c>
      <c r="H35" s="57">
        <f t="shared" si="1"/>
        <v>0.8</v>
      </c>
      <c r="I35" s="56" t="str">
        <f t="shared" si="2"/>
        <v/>
      </c>
      <c r="J35" s="32" t="str">
        <f t="shared" si="3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55"/>
      <c r="F36" s="55"/>
      <c r="G36" s="56" t="str">
        <f t="shared" si="0"/>
        <v/>
      </c>
      <c r="H36" s="57">
        <f t="shared" si="1"/>
        <v>0.8</v>
      </c>
      <c r="I36" s="56" t="str">
        <f t="shared" si="2"/>
        <v/>
      </c>
      <c r="J36" s="32" t="str">
        <f t="shared" si="3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55"/>
      <c r="F37" s="55"/>
      <c r="G37" s="56" t="str">
        <f t="shared" si="0"/>
        <v/>
      </c>
      <c r="H37" s="57">
        <f t="shared" si="1"/>
        <v>0.8</v>
      </c>
      <c r="I37" s="56" t="str">
        <f t="shared" si="2"/>
        <v/>
      </c>
      <c r="J37" s="32" t="str">
        <f t="shared" si="3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55"/>
      <c r="F38" s="55"/>
      <c r="G38" s="56" t="str">
        <f t="shared" si="0"/>
        <v/>
      </c>
      <c r="H38" s="57">
        <f t="shared" si="1"/>
        <v>0.8</v>
      </c>
      <c r="I38" s="56" t="str">
        <f t="shared" si="2"/>
        <v/>
      </c>
      <c r="J38" s="3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55"/>
      <c r="F39" s="55"/>
      <c r="G39" s="56" t="str">
        <f t="shared" si="0"/>
        <v/>
      </c>
      <c r="H39" s="57">
        <f t="shared" si="1"/>
        <v>0.8</v>
      </c>
      <c r="I39" s="56" t="str">
        <f t="shared" si="2"/>
        <v/>
      </c>
      <c r="J39" s="3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55"/>
      <c r="F40" s="55"/>
      <c r="G40" s="56" t="str">
        <f t="shared" si="0"/>
        <v/>
      </c>
      <c r="H40" s="57">
        <f t="shared" si="1"/>
        <v>0.8</v>
      </c>
      <c r="I40" s="56" t="str">
        <f t="shared" si="2"/>
        <v/>
      </c>
      <c r="J40" s="3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55"/>
      <c r="F41" s="55"/>
      <c r="G41" s="56" t="str">
        <f t="shared" si="0"/>
        <v/>
      </c>
      <c r="H41" s="57">
        <f t="shared" si="1"/>
        <v>0.8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55"/>
      <c r="F42" s="55"/>
      <c r="G42" s="56" t="str">
        <f t="shared" si="0"/>
        <v/>
      </c>
      <c r="H42" s="57">
        <f t="shared" si="1"/>
        <v>0.8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55"/>
      <c r="F43" s="55"/>
      <c r="G43" s="56" t="str">
        <f t="shared" si="0"/>
        <v/>
      </c>
      <c r="H43" s="57">
        <f t="shared" si="1"/>
        <v>0.8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55"/>
      <c r="F44" s="55"/>
      <c r="G44" s="56" t="str">
        <f t="shared" si="0"/>
        <v/>
      </c>
      <c r="H44" s="57">
        <f t="shared" si="1"/>
        <v>0.8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55"/>
      <c r="F45" s="55"/>
      <c r="G45" s="56" t="str">
        <f t="shared" si="0"/>
        <v/>
      </c>
      <c r="H45" s="57">
        <f t="shared" si="1"/>
        <v>0.8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55"/>
      <c r="F46" s="55"/>
      <c r="G46" s="56" t="str">
        <f t="shared" si="0"/>
        <v/>
      </c>
      <c r="H46" s="57">
        <f t="shared" si="1"/>
        <v>0.8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55"/>
      <c r="F47" s="55"/>
      <c r="G47" s="56" t="str">
        <f t="shared" si="0"/>
        <v/>
      </c>
      <c r="H47" s="57">
        <f t="shared" si="1"/>
        <v>0.8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55"/>
      <c r="F48" s="55"/>
      <c r="G48" s="56" t="str">
        <f t="shared" si="0"/>
        <v/>
      </c>
      <c r="H48" s="57">
        <f t="shared" si="1"/>
        <v>0.8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55"/>
      <c r="F49" s="55"/>
      <c r="G49" s="56" t="str">
        <f t="shared" si="0"/>
        <v/>
      </c>
      <c r="H49" s="57">
        <f t="shared" si="1"/>
        <v>0.8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55"/>
      <c r="F50" s="55"/>
      <c r="G50" s="56" t="str">
        <f t="shared" si="0"/>
        <v/>
      </c>
      <c r="H50" s="57">
        <f t="shared" si="1"/>
        <v>0.8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55"/>
      <c r="F51" s="55"/>
      <c r="G51" s="56" t="str">
        <f t="shared" si="0"/>
        <v/>
      </c>
      <c r="H51" s="57">
        <f t="shared" si="1"/>
        <v>0.8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55"/>
      <c r="F52" s="55"/>
      <c r="G52" s="56" t="str">
        <f t="shared" si="0"/>
        <v/>
      </c>
      <c r="H52" s="57">
        <f t="shared" si="1"/>
        <v>0.8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55"/>
      <c r="F53" s="55"/>
      <c r="G53" s="56" t="str">
        <f t="shared" si="0"/>
        <v/>
      </c>
      <c r="H53" s="57">
        <f t="shared" si="1"/>
        <v>0.8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55"/>
      <c r="F54" s="55"/>
      <c r="G54" s="56" t="str">
        <f t="shared" si="0"/>
        <v/>
      </c>
      <c r="H54" s="57">
        <f t="shared" si="1"/>
        <v>0.8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55"/>
      <c r="F55" s="55"/>
      <c r="G55" s="56" t="str">
        <f t="shared" ref="G55:G86" si="4">IFERROR(IF(F55=0,"",E55/F55),"")</f>
        <v/>
      </c>
      <c r="H55" s="57">
        <f t="shared" ref="H55:H82" si="5">IFERROR(VLOOKUP(C55,$B$14:$C$18,2,FALSE()),"")</f>
        <v>0.8</v>
      </c>
      <c r="I55" s="56" t="str">
        <f t="shared" ref="I55:I86" si="6">IFERROR(IF(OR(G55="",NOT(ISNUMBER(H55))),"",G55/H55),"")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55"/>
      <c r="F56" s="55"/>
      <c r="G56" s="56" t="str">
        <f t="shared" si="4"/>
        <v/>
      </c>
      <c r="H56" s="57">
        <f t="shared" si="5"/>
        <v>0.8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55"/>
      <c r="F57" s="55"/>
      <c r="G57" s="56" t="str">
        <f t="shared" si="4"/>
        <v/>
      </c>
      <c r="H57" s="57">
        <f t="shared" si="5"/>
        <v>0.8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55"/>
      <c r="F58" s="55"/>
      <c r="G58" s="56" t="str">
        <f t="shared" si="4"/>
        <v/>
      </c>
      <c r="H58" s="57">
        <f t="shared" si="5"/>
        <v>0.8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55"/>
      <c r="F59" s="55"/>
      <c r="G59" s="56" t="str">
        <f t="shared" si="4"/>
        <v/>
      </c>
      <c r="H59" s="57">
        <f t="shared" si="5"/>
        <v>0.8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55"/>
      <c r="F60" s="55"/>
      <c r="G60" s="56" t="str">
        <f t="shared" si="4"/>
        <v/>
      </c>
      <c r="H60" s="57">
        <f t="shared" si="5"/>
        <v>0.8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55"/>
      <c r="F61" s="55"/>
      <c r="G61" s="56" t="str">
        <f t="shared" si="4"/>
        <v/>
      </c>
      <c r="H61" s="57">
        <f t="shared" si="5"/>
        <v>0.8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55"/>
      <c r="F62" s="55"/>
      <c r="G62" s="56" t="str">
        <f t="shared" si="4"/>
        <v/>
      </c>
      <c r="H62" s="57">
        <f t="shared" si="5"/>
        <v>0.8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55"/>
      <c r="F63" s="55"/>
      <c r="G63" s="56" t="str">
        <f t="shared" si="4"/>
        <v/>
      </c>
      <c r="H63" s="57">
        <f t="shared" si="5"/>
        <v>0.8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55"/>
      <c r="F64" s="55"/>
      <c r="G64" s="56" t="str">
        <f t="shared" si="4"/>
        <v/>
      </c>
      <c r="H64" s="57">
        <f t="shared" si="5"/>
        <v>0.8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55"/>
      <c r="F65" s="55"/>
      <c r="G65" s="56" t="str">
        <f t="shared" si="4"/>
        <v/>
      </c>
      <c r="H65" s="57">
        <f t="shared" si="5"/>
        <v>0.8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55"/>
      <c r="F66" s="55"/>
      <c r="G66" s="56" t="str">
        <f t="shared" si="4"/>
        <v/>
      </c>
      <c r="H66" s="57">
        <f t="shared" si="5"/>
        <v>0.8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55"/>
      <c r="F67" s="55"/>
      <c r="G67" s="56" t="str">
        <f t="shared" si="4"/>
        <v/>
      </c>
      <c r="H67" s="57">
        <f t="shared" si="5"/>
        <v>0.8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55"/>
      <c r="F68" s="55"/>
      <c r="G68" s="56" t="str">
        <f t="shared" si="4"/>
        <v/>
      </c>
      <c r="H68" s="57">
        <f t="shared" si="5"/>
        <v>0.8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55"/>
      <c r="F69" s="55"/>
      <c r="G69" s="56" t="str">
        <f t="shared" si="4"/>
        <v/>
      </c>
      <c r="H69" s="57">
        <f t="shared" si="5"/>
        <v>0.8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55"/>
      <c r="F70" s="55"/>
      <c r="G70" s="56" t="str">
        <f t="shared" si="4"/>
        <v/>
      </c>
      <c r="H70" s="57">
        <f t="shared" si="5"/>
        <v>0.8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55"/>
      <c r="F71" s="55"/>
      <c r="G71" s="56" t="str">
        <f t="shared" si="4"/>
        <v/>
      </c>
      <c r="H71" s="57">
        <f t="shared" si="5"/>
        <v>0.8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55"/>
      <c r="F72" s="55"/>
      <c r="G72" s="56" t="str">
        <f t="shared" si="4"/>
        <v/>
      </c>
      <c r="H72" s="57">
        <f t="shared" si="5"/>
        <v>0.8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55"/>
      <c r="F73" s="55"/>
      <c r="G73" s="56" t="str">
        <f t="shared" si="4"/>
        <v/>
      </c>
      <c r="H73" s="57">
        <f t="shared" si="5"/>
        <v>0.8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55"/>
      <c r="F74" s="55"/>
      <c r="G74" s="56" t="str">
        <f t="shared" si="4"/>
        <v/>
      </c>
      <c r="H74" s="57">
        <f t="shared" si="5"/>
        <v>0.8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55"/>
      <c r="F75" s="55"/>
      <c r="G75" s="56" t="str">
        <f t="shared" si="4"/>
        <v/>
      </c>
      <c r="H75" s="57">
        <f t="shared" si="5"/>
        <v>0.8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55"/>
      <c r="F76" s="55"/>
      <c r="G76" s="56" t="str">
        <f t="shared" si="4"/>
        <v/>
      </c>
      <c r="H76" s="57">
        <f t="shared" si="5"/>
        <v>0.8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55"/>
      <c r="F77" s="55"/>
      <c r="G77" s="56" t="str">
        <f t="shared" si="4"/>
        <v/>
      </c>
      <c r="H77" s="57">
        <f t="shared" si="5"/>
        <v>0.8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55"/>
      <c r="F78" s="55"/>
      <c r="G78" s="56" t="str">
        <f t="shared" si="4"/>
        <v/>
      </c>
      <c r="H78" s="57">
        <f t="shared" si="5"/>
        <v>0.8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55"/>
      <c r="F79" s="55"/>
      <c r="G79" s="56" t="str">
        <f t="shared" si="4"/>
        <v/>
      </c>
      <c r="H79" s="57">
        <f t="shared" si="5"/>
        <v>0.8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55"/>
      <c r="F80" s="55"/>
      <c r="G80" s="56" t="str">
        <f t="shared" si="4"/>
        <v/>
      </c>
      <c r="H80" s="57">
        <f t="shared" si="5"/>
        <v>0.8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55"/>
      <c r="F81" s="55"/>
      <c r="G81" s="56" t="str">
        <f t="shared" si="4"/>
        <v/>
      </c>
      <c r="H81" s="57">
        <f t="shared" si="5"/>
        <v>0.8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55"/>
      <c r="F82" s="55"/>
      <c r="G82" s="56" t="str">
        <f t="shared" si="4"/>
        <v/>
      </c>
      <c r="H82" s="57">
        <f t="shared" si="5"/>
        <v>0.8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132" priority="2">
      <formula>AND(ISNUMBER(I23),I23&gt;=0.95)</formula>
    </cfRule>
    <cfRule type="expression" dxfId="131" priority="3">
      <formula>AND(ISNUMBER(I23),I23&gt;=0.8,I23&lt;0.95)</formula>
    </cfRule>
    <cfRule type="expression" dxfId="130" priority="4">
      <formula>AND(ISNUMBER(I23),I23&lt;0.8)</formula>
    </cfRule>
  </conditionalFormatting>
  <conditionalFormatting sqref="J23:J82">
    <cfRule type="expression" dxfId="129" priority="5">
      <formula>J23="Cumple"</formula>
    </cfRule>
    <cfRule type="expression" dxfId="128" priority="6">
      <formula>J23="En riesgo"</formula>
    </cfRule>
    <cfRule type="expression" dxfId="127" priority="7">
      <formula>J23="Crítico"</formula>
    </cfRule>
    <cfRule type="expression" dxfId="126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6FB2"/>
  </sheetPr>
  <dimension ref="B2:I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5" width="22" customWidth="1"/>
    <col min="6" max="6" width="15" customWidth="1"/>
    <col min="7" max="7" width="12" customWidth="1"/>
    <col min="8" max="9" width="13" customWidth="1"/>
  </cols>
  <sheetData>
    <row r="2" spans="2:9" ht="27.75" customHeight="1" x14ac:dyDescent="0.35">
      <c r="B2" s="97" t="s">
        <v>254</v>
      </c>
      <c r="C2" s="72"/>
      <c r="D2" s="72"/>
      <c r="E2" s="72"/>
      <c r="F2" s="72"/>
      <c r="G2" s="72"/>
      <c r="H2" s="72"/>
      <c r="I2" s="72"/>
    </row>
    <row r="3" spans="2:9" ht="18" customHeight="1" x14ac:dyDescent="0.35">
      <c r="B3" s="94" t="s">
        <v>255</v>
      </c>
      <c r="C3" s="72"/>
      <c r="D3" s="72"/>
      <c r="E3" s="72"/>
      <c r="F3" s="72"/>
      <c r="G3" s="72"/>
      <c r="H3" s="72"/>
      <c r="I3" s="72"/>
    </row>
    <row r="5" spans="2:9" ht="25.5" customHeight="1" x14ac:dyDescent="0.35">
      <c r="B5" s="88" t="s">
        <v>113</v>
      </c>
      <c r="C5" s="81"/>
      <c r="D5" s="89" t="s">
        <v>155</v>
      </c>
      <c r="E5" s="80"/>
      <c r="F5" s="80"/>
      <c r="G5" s="80"/>
      <c r="H5" s="80"/>
      <c r="I5" s="81"/>
    </row>
    <row r="6" spans="2:9" ht="25.5" customHeight="1" x14ac:dyDescent="0.35">
      <c r="B6" s="88" t="s">
        <v>114</v>
      </c>
      <c r="C6" s="81"/>
      <c r="D6" s="89" t="s">
        <v>156</v>
      </c>
      <c r="E6" s="80"/>
      <c r="F6" s="80"/>
      <c r="G6" s="80"/>
      <c r="H6" s="80"/>
      <c r="I6" s="81"/>
    </row>
    <row r="7" spans="2:9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1"/>
    </row>
    <row r="8" spans="2:9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1"/>
    </row>
    <row r="9" spans="2:9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1"/>
    </row>
    <row r="10" spans="2:9" ht="19.5" customHeight="1" x14ac:dyDescent="0.35">
      <c r="B10" s="88" t="s">
        <v>117</v>
      </c>
      <c r="C10" s="81"/>
      <c r="D10" s="93" t="str">
        <f>VLOOKUP("IND-08",Parámetros!$B$6:$F$30,5,FALSE())</f>
        <v>Por definir</v>
      </c>
      <c r="E10" s="80"/>
      <c r="F10" s="80"/>
      <c r="G10" s="80"/>
      <c r="H10" s="80"/>
      <c r="I10" s="81"/>
    </row>
    <row r="12" spans="2:9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</row>
    <row r="13" spans="2:9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1"/>
    </row>
    <row r="14" spans="2:9" ht="19.5" customHeight="1" x14ac:dyDescent="0.35">
      <c r="B14" s="51">
        <v>2026</v>
      </c>
      <c r="C14" s="99" t="s">
        <v>256</v>
      </c>
      <c r="D14" s="81"/>
      <c r="E14" s="92"/>
      <c r="F14" s="80"/>
      <c r="G14" s="80"/>
      <c r="H14" s="80"/>
      <c r="I14" s="80"/>
    </row>
    <row r="15" spans="2:9" ht="19.5" customHeight="1" x14ac:dyDescent="0.35">
      <c r="B15" s="51">
        <v>2027</v>
      </c>
      <c r="C15" s="99" t="s">
        <v>256</v>
      </c>
      <c r="D15" s="81"/>
      <c r="E15" s="92"/>
      <c r="F15" s="80"/>
      <c r="G15" s="80"/>
      <c r="H15" s="80"/>
      <c r="I15" s="80"/>
    </row>
    <row r="16" spans="2:9" ht="19.5" customHeight="1" x14ac:dyDescent="0.35">
      <c r="B16" s="51">
        <v>2028</v>
      </c>
      <c r="C16" s="99" t="s">
        <v>256</v>
      </c>
      <c r="D16" s="81"/>
      <c r="E16" s="92"/>
      <c r="F16" s="80"/>
      <c r="G16" s="80"/>
      <c r="H16" s="80"/>
      <c r="I16" s="80"/>
    </row>
    <row r="17" spans="2:9" ht="19.5" customHeight="1" x14ac:dyDescent="0.35">
      <c r="B17" s="51">
        <v>2029</v>
      </c>
      <c r="C17" s="99" t="s">
        <v>256</v>
      </c>
      <c r="D17" s="81"/>
      <c r="E17" s="92"/>
      <c r="F17" s="80"/>
      <c r="G17" s="80"/>
      <c r="H17" s="80"/>
      <c r="I17" s="80"/>
    </row>
    <row r="18" spans="2:9" ht="19.5" customHeight="1" x14ac:dyDescent="0.35">
      <c r="B18" s="51">
        <v>2030</v>
      </c>
      <c r="C18" s="99" t="s">
        <v>256</v>
      </c>
      <c r="D18" s="81"/>
      <c r="E18" s="92"/>
      <c r="F18" s="80"/>
      <c r="G18" s="80"/>
      <c r="H18" s="80"/>
      <c r="I18" s="80"/>
    </row>
    <row r="20" spans="2:9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</row>
    <row r="21" spans="2:9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</row>
    <row r="22" spans="2:9" ht="30" customHeight="1" x14ac:dyDescent="0.35">
      <c r="B22" s="21" t="s">
        <v>220</v>
      </c>
      <c r="C22" s="21" t="s">
        <v>208</v>
      </c>
      <c r="D22" s="21" t="s">
        <v>209</v>
      </c>
      <c r="E22" s="21" t="s">
        <v>257</v>
      </c>
      <c r="F22" s="21" t="s">
        <v>223</v>
      </c>
      <c r="G22" s="21" t="s">
        <v>224</v>
      </c>
      <c r="H22" s="21" t="s">
        <v>225</v>
      </c>
      <c r="I22" s="21" t="s">
        <v>226</v>
      </c>
    </row>
    <row r="23" spans="2:9" ht="18" customHeight="1" x14ac:dyDescent="0.35">
      <c r="B23" s="52">
        <v>1</v>
      </c>
      <c r="C23" s="53">
        <v>2026</v>
      </c>
      <c r="D23" s="54" t="s">
        <v>227</v>
      </c>
      <c r="E23" s="55"/>
      <c r="F23" s="51"/>
      <c r="G23" s="52" t="str">
        <f t="shared" ref="G23:G54" si="0">IFERROR(VLOOKUP(C23,$B$14:$C$18,2,FALSE()),"")</f>
        <v>≥ IPC</v>
      </c>
      <c r="H23" s="61" t="str">
        <f t="shared" ref="H23:H54" si="1">IF(F23="","","N/A")</f>
        <v/>
      </c>
      <c r="I23" s="62" t="str">
        <f t="shared" ref="I23:I54" si="2">IF(F23="","Pendiente","Manual")</f>
        <v>Pendiente</v>
      </c>
    </row>
    <row r="24" spans="2:9" ht="18" customHeight="1" x14ac:dyDescent="0.35">
      <c r="B24" s="52">
        <v>2</v>
      </c>
      <c r="C24" s="53">
        <v>2026</v>
      </c>
      <c r="D24" s="54" t="s">
        <v>228</v>
      </c>
      <c r="E24" s="55"/>
      <c r="F24" s="51" t="str">
        <f t="shared" ref="F24:F55" si="3">IFERROR(IF(OR(E24="",E23="",E23=0),"",(E24-E23)/E23),"")</f>
        <v/>
      </c>
      <c r="G24" s="52" t="str">
        <f t="shared" si="0"/>
        <v>≥ IPC</v>
      </c>
      <c r="H24" s="61" t="str">
        <f t="shared" si="1"/>
        <v/>
      </c>
      <c r="I24" s="62" t="str">
        <f t="shared" si="2"/>
        <v>Pendiente</v>
      </c>
    </row>
    <row r="25" spans="2:9" ht="18" customHeight="1" x14ac:dyDescent="0.35">
      <c r="B25" s="52">
        <v>3</v>
      </c>
      <c r="C25" s="53">
        <v>2026</v>
      </c>
      <c r="D25" s="54" t="s">
        <v>229</v>
      </c>
      <c r="E25" s="55"/>
      <c r="F25" s="51" t="str">
        <f t="shared" si="3"/>
        <v/>
      </c>
      <c r="G25" s="52" t="str">
        <f t="shared" si="0"/>
        <v>≥ IPC</v>
      </c>
      <c r="H25" s="61" t="str">
        <f t="shared" si="1"/>
        <v/>
      </c>
      <c r="I25" s="62" t="str">
        <f t="shared" si="2"/>
        <v>Pendiente</v>
      </c>
    </row>
    <row r="26" spans="2:9" ht="18" customHeight="1" x14ac:dyDescent="0.35">
      <c r="B26" s="52">
        <v>4</v>
      </c>
      <c r="C26" s="53">
        <v>2026</v>
      </c>
      <c r="D26" s="54" t="s">
        <v>230</v>
      </c>
      <c r="E26" s="55"/>
      <c r="F26" s="51" t="str">
        <f t="shared" si="3"/>
        <v/>
      </c>
      <c r="G26" s="52" t="str">
        <f t="shared" si="0"/>
        <v>≥ IPC</v>
      </c>
      <c r="H26" s="61" t="str">
        <f t="shared" si="1"/>
        <v/>
      </c>
      <c r="I26" s="62" t="str">
        <f t="shared" si="2"/>
        <v>Pendiente</v>
      </c>
    </row>
    <row r="27" spans="2:9" ht="18" customHeight="1" x14ac:dyDescent="0.35">
      <c r="B27" s="52">
        <v>5</v>
      </c>
      <c r="C27" s="53">
        <v>2026</v>
      </c>
      <c r="D27" s="54" t="s">
        <v>231</v>
      </c>
      <c r="E27" s="55"/>
      <c r="F27" s="51" t="str">
        <f t="shared" si="3"/>
        <v/>
      </c>
      <c r="G27" s="52" t="str">
        <f t="shared" si="0"/>
        <v>≥ IPC</v>
      </c>
      <c r="H27" s="61" t="str">
        <f t="shared" si="1"/>
        <v/>
      </c>
      <c r="I27" s="62" t="str">
        <f t="shared" si="2"/>
        <v>Pendiente</v>
      </c>
    </row>
    <row r="28" spans="2:9" ht="18" customHeight="1" x14ac:dyDescent="0.35">
      <c r="B28" s="52">
        <v>6</v>
      </c>
      <c r="C28" s="53">
        <v>2026</v>
      </c>
      <c r="D28" s="54" t="s">
        <v>232</v>
      </c>
      <c r="E28" s="55"/>
      <c r="F28" s="51" t="str">
        <f t="shared" si="3"/>
        <v/>
      </c>
      <c r="G28" s="52" t="str">
        <f t="shared" si="0"/>
        <v>≥ IPC</v>
      </c>
      <c r="H28" s="61" t="str">
        <f t="shared" si="1"/>
        <v/>
      </c>
      <c r="I28" s="62" t="str">
        <f t="shared" si="2"/>
        <v>Pendiente</v>
      </c>
    </row>
    <row r="29" spans="2:9" ht="18" customHeight="1" x14ac:dyDescent="0.35">
      <c r="B29" s="52">
        <v>7</v>
      </c>
      <c r="C29" s="53">
        <v>2026</v>
      </c>
      <c r="D29" s="54" t="s">
        <v>233</v>
      </c>
      <c r="E29" s="55"/>
      <c r="F29" s="51" t="str">
        <f t="shared" si="3"/>
        <v/>
      </c>
      <c r="G29" s="52" t="str">
        <f t="shared" si="0"/>
        <v>≥ IPC</v>
      </c>
      <c r="H29" s="61" t="str">
        <f t="shared" si="1"/>
        <v/>
      </c>
      <c r="I29" s="62" t="str">
        <f t="shared" si="2"/>
        <v>Pendiente</v>
      </c>
    </row>
    <row r="30" spans="2:9" ht="18" customHeight="1" x14ac:dyDescent="0.35">
      <c r="B30" s="52">
        <v>8</v>
      </c>
      <c r="C30" s="53">
        <v>2026</v>
      </c>
      <c r="D30" s="54" t="s">
        <v>234</v>
      </c>
      <c r="E30" s="55"/>
      <c r="F30" s="51" t="str">
        <f t="shared" si="3"/>
        <v/>
      </c>
      <c r="G30" s="52" t="str">
        <f t="shared" si="0"/>
        <v>≥ IPC</v>
      </c>
      <c r="H30" s="61" t="str">
        <f t="shared" si="1"/>
        <v/>
      </c>
      <c r="I30" s="62" t="str">
        <f t="shared" si="2"/>
        <v>Pendiente</v>
      </c>
    </row>
    <row r="31" spans="2:9" ht="18" customHeight="1" x14ac:dyDescent="0.35">
      <c r="B31" s="52">
        <v>9</v>
      </c>
      <c r="C31" s="53">
        <v>2026</v>
      </c>
      <c r="D31" s="54" t="s">
        <v>235</v>
      </c>
      <c r="E31" s="55"/>
      <c r="F31" s="51" t="str">
        <f t="shared" si="3"/>
        <v/>
      </c>
      <c r="G31" s="52" t="str">
        <f t="shared" si="0"/>
        <v>≥ IPC</v>
      </c>
      <c r="H31" s="61" t="str">
        <f t="shared" si="1"/>
        <v/>
      </c>
      <c r="I31" s="62" t="str">
        <f t="shared" si="2"/>
        <v>Pendiente</v>
      </c>
    </row>
    <row r="32" spans="2:9" ht="18" customHeight="1" x14ac:dyDescent="0.35">
      <c r="B32" s="52">
        <v>10</v>
      </c>
      <c r="C32" s="53">
        <v>2026</v>
      </c>
      <c r="D32" s="54" t="s">
        <v>236</v>
      </c>
      <c r="E32" s="55"/>
      <c r="F32" s="51" t="str">
        <f t="shared" si="3"/>
        <v/>
      </c>
      <c r="G32" s="52" t="str">
        <f t="shared" si="0"/>
        <v>≥ IPC</v>
      </c>
      <c r="H32" s="61" t="str">
        <f t="shared" si="1"/>
        <v/>
      </c>
      <c r="I32" s="62" t="str">
        <f t="shared" si="2"/>
        <v>Pendiente</v>
      </c>
    </row>
    <row r="33" spans="2:9" ht="18" customHeight="1" x14ac:dyDescent="0.35">
      <c r="B33" s="52">
        <v>11</v>
      </c>
      <c r="C33" s="53">
        <v>2026</v>
      </c>
      <c r="D33" s="54" t="s">
        <v>237</v>
      </c>
      <c r="E33" s="55"/>
      <c r="F33" s="51" t="str">
        <f t="shared" si="3"/>
        <v/>
      </c>
      <c r="G33" s="52" t="str">
        <f t="shared" si="0"/>
        <v>≥ IPC</v>
      </c>
      <c r="H33" s="61" t="str">
        <f t="shared" si="1"/>
        <v/>
      </c>
      <c r="I33" s="62" t="str">
        <f t="shared" si="2"/>
        <v>Pendiente</v>
      </c>
    </row>
    <row r="34" spans="2:9" ht="18" customHeight="1" x14ac:dyDescent="0.35">
      <c r="B34" s="52">
        <v>12</v>
      </c>
      <c r="C34" s="53">
        <v>2026</v>
      </c>
      <c r="D34" s="54" t="s">
        <v>238</v>
      </c>
      <c r="E34" s="55"/>
      <c r="F34" s="51" t="str">
        <f t="shared" si="3"/>
        <v/>
      </c>
      <c r="G34" s="52" t="str">
        <f t="shared" si="0"/>
        <v>≥ IPC</v>
      </c>
      <c r="H34" s="61" t="str">
        <f t="shared" si="1"/>
        <v/>
      </c>
      <c r="I34" s="62" t="str">
        <f t="shared" si="2"/>
        <v>Pendiente</v>
      </c>
    </row>
    <row r="35" spans="2:9" ht="18" customHeight="1" x14ac:dyDescent="0.35">
      <c r="B35" s="52">
        <v>13</v>
      </c>
      <c r="C35" s="53">
        <v>2027</v>
      </c>
      <c r="D35" s="54" t="s">
        <v>227</v>
      </c>
      <c r="E35" s="55"/>
      <c r="F35" s="51" t="str">
        <f t="shared" si="3"/>
        <v/>
      </c>
      <c r="G35" s="52" t="str">
        <f t="shared" si="0"/>
        <v>≥ IPC</v>
      </c>
      <c r="H35" s="61" t="str">
        <f t="shared" si="1"/>
        <v/>
      </c>
      <c r="I35" s="62" t="str">
        <f t="shared" si="2"/>
        <v>Pendiente</v>
      </c>
    </row>
    <row r="36" spans="2:9" ht="18" customHeight="1" x14ac:dyDescent="0.35">
      <c r="B36" s="52">
        <v>14</v>
      </c>
      <c r="C36" s="53">
        <v>2027</v>
      </c>
      <c r="D36" s="54" t="s">
        <v>228</v>
      </c>
      <c r="E36" s="55"/>
      <c r="F36" s="51" t="str">
        <f t="shared" si="3"/>
        <v/>
      </c>
      <c r="G36" s="52" t="str">
        <f t="shared" si="0"/>
        <v>≥ IPC</v>
      </c>
      <c r="H36" s="61" t="str">
        <f t="shared" si="1"/>
        <v/>
      </c>
      <c r="I36" s="62" t="str">
        <f t="shared" si="2"/>
        <v>Pendiente</v>
      </c>
    </row>
    <row r="37" spans="2:9" ht="18" customHeight="1" x14ac:dyDescent="0.35">
      <c r="B37" s="52">
        <v>15</v>
      </c>
      <c r="C37" s="53">
        <v>2027</v>
      </c>
      <c r="D37" s="54" t="s">
        <v>229</v>
      </c>
      <c r="E37" s="55"/>
      <c r="F37" s="51" t="str">
        <f t="shared" si="3"/>
        <v/>
      </c>
      <c r="G37" s="52" t="str">
        <f t="shared" si="0"/>
        <v>≥ IPC</v>
      </c>
      <c r="H37" s="61" t="str">
        <f t="shared" si="1"/>
        <v/>
      </c>
      <c r="I37" s="62" t="str">
        <f t="shared" si="2"/>
        <v>Pendiente</v>
      </c>
    </row>
    <row r="38" spans="2:9" ht="18" customHeight="1" x14ac:dyDescent="0.35">
      <c r="B38" s="52">
        <v>16</v>
      </c>
      <c r="C38" s="53">
        <v>2027</v>
      </c>
      <c r="D38" s="54" t="s">
        <v>230</v>
      </c>
      <c r="E38" s="55"/>
      <c r="F38" s="51" t="str">
        <f t="shared" si="3"/>
        <v/>
      </c>
      <c r="G38" s="52" t="str">
        <f t="shared" si="0"/>
        <v>≥ IPC</v>
      </c>
      <c r="H38" s="61" t="str">
        <f t="shared" si="1"/>
        <v/>
      </c>
      <c r="I38" s="62" t="str">
        <f t="shared" si="2"/>
        <v>Pendiente</v>
      </c>
    </row>
    <row r="39" spans="2:9" ht="18" customHeight="1" x14ac:dyDescent="0.35">
      <c r="B39" s="52">
        <v>17</v>
      </c>
      <c r="C39" s="53">
        <v>2027</v>
      </c>
      <c r="D39" s="54" t="s">
        <v>231</v>
      </c>
      <c r="E39" s="55"/>
      <c r="F39" s="51" t="str">
        <f t="shared" si="3"/>
        <v/>
      </c>
      <c r="G39" s="52" t="str">
        <f t="shared" si="0"/>
        <v>≥ IPC</v>
      </c>
      <c r="H39" s="61" t="str">
        <f t="shared" si="1"/>
        <v/>
      </c>
      <c r="I39" s="62" t="str">
        <f t="shared" si="2"/>
        <v>Pendiente</v>
      </c>
    </row>
    <row r="40" spans="2:9" ht="18" customHeight="1" x14ac:dyDescent="0.35">
      <c r="B40" s="52">
        <v>18</v>
      </c>
      <c r="C40" s="53">
        <v>2027</v>
      </c>
      <c r="D40" s="54" t="s">
        <v>232</v>
      </c>
      <c r="E40" s="55"/>
      <c r="F40" s="51" t="str">
        <f t="shared" si="3"/>
        <v/>
      </c>
      <c r="G40" s="52" t="str">
        <f t="shared" si="0"/>
        <v>≥ IPC</v>
      </c>
      <c r="H40" s="61" t="str">
        <f t="shared" si="1"/>
        <v/>
      </c>
      <c r="I40" s="62" t="str">
        <f t="shared" si="2"/>
        <v>Pendiente</v>
      </c>
    </row>
    <row r="41" spans="2:9" ht="18" customHeight="1" x14ac:dyDescent="0.35">
      <c r="B41" s="52">
        <v>19</v>
      </c>
      <c r="C41" s="53">
        <v>2027</v>
      </c>
      <c r="D41" s="54" t="s">
        <v>233</v>
      </c>
      <c r="E41" s="55"/>
      <c r="F41" s="51" t="str">
        <f t="shared" si="3"/>
        <v/>
      </c>
      <c r="G41" s="52" t="str">
        <f t="shared" si="0"/>
        <v>≥ IPC</v>
      </c>
      <c r="H41" s="61" t="str">
        <f t="shared" si="1"/>
        <v/>
      </c>
      <c r="I41" s="62" t="str">
        <f t="shared" si="2"/>
        <v>Pendiente</v>
      </c>
    </row>
    <row r="42" spans="2:9" ht="18" customHeight="1" x14ac:dyDescent="0.35">
      <c r="B42" s="52">
        <v>20</v>
      </c>
      <c r="C42" s="53">
        <v>2027</v>
      </c>
      <c r="D42" s="54" t="s">
        <v>234</v>
      </c>
      <c r="E42" s="55"/>
      <c r="F42" s="51" t="str">
        <f t="shared" si="3"/>
        <v/>
      </c>
      <c r="G42" s="52" t="str">
        <f t="shared" si="0"/>
        <v>≥ IPC</v>
      </c>
      <c r="H42" s="61" t="str">
        <f t="shared" si="1"/>
        <v/>
      </c>
      <c r="I42" s="62" t="str">
        <f t="shared" si="2"/>
        <v>Pendiente</v>
      </c>
    </row>
    <row r="43" spans="2:9" ht="18" customHeight="1" x14ac:dyDescent="0.35">
      <c r="B43" s="52">
        <v>21</v>
      </c>
      <c r="C43" s="53">
        <v>2027</v>
      </c>
      <c r="D43" s="54" t="s">
        <v>235</v>
      </c>
      <c r="E43" s="55"/>
      <c r="F43" s="51" t="str">
        <f t="shared" si="3"/>
        <v/>
      </c>
      <c r="G43" s="52" t="str">
        <f t="shared" si="0"/>
        <v>≥ IPC</v>
      </c>
      <c r="H43" s="61" t="str">
        <f t="shared" si="1"/>
        <v/>
      </c>
      <c r="I43" s="62" t="str">
        <f t="shared" si="2"/>
        <v>Pendiente</v>
      </c>
    </row>
    <row r="44" spans="2:9" ht="18" customHeight="1" x14ac:dyDescent="0.35">
      <c r="B44" s="52">
        <v>22</v>
      </c>
      <c r="C44" s="53">
        <v>2027</v>
      </c>
      <c r="D44" s="54" t="s">
        <v>236</v>
      </c>
      <c r="E44" s="55"/>
      <c r="F44" s="51" t="str">
        <f t="shared" si="3"/>
        <v/>
      </c>
      <c r="G44" s="52" t="str">
        <f t="shared" si="0"/>
        <v>≥ IPC</v>
      </c>
      <c r="H44" s="61" t="str">
        <f t="shared" si="1"/>
        <v/>
      </c>
      <c r="I44" s="62" t="str">
        <f t="shared" si="2"/>
        <v>Pendiente</v>
      </c>
    </row>
    <row r="45" spans="2:9" ht="18" customHeight="1" x14ac:dyDescent="0.35">
      <c r="B45" s="52">
        <v>23</v>
      </c>
      <c r="C45" s="53">
        <v>2027</v>
      </c>
      <c r="D45" s="54" t="s">
        <v>237</v>
      </c>
      <c r="E45" s="55"/>
      <c r="F45" s="51" t="str">
        <f t="shared" si="3"/>
        <v/>
      </c>
      <c r="G45" s="52" t="str">
        <f t="shared" si="0"/>
        <v>≥ IPC</v>
      </c>
      <c r="H45" s="61" t="str">
        <f t="shared" si="1"/>
        <v/>
      </c>
      <c r="I45" s="62" t="str">
        <f t="shared" si="2"/>
        <v>Pendiente</v>
      </c>
    </row>
    <row r="46" spans="2:9" ht="18" customHeight="1" x14ac:dyDescent="0.35">
      <c r="B46" s="52">
        <v>24</v>
      </c>
      <c r="C46" s="53">
        <v>2027</v>
      </c>
      <c r="D46" s="54" t="s">
        <v>238</v>
      </c>
      <c r="E46" s="55"/>
      <c r="F46" s="51" t="str">
        <f t="shared" si="3"/>
        <v/>
      </c>
      <c r="G46" s="52" t="str">
        <f t="shared" si="0"/>
        <v>≥ IPC</v>
      </c>
      <c r="H46" s="61" t="str">
        <f t="shared" si="1"/>
        <v/>
      </c>
      <c r="I46" s="62" t="str">
        <f t="shared" si="2"/>
        <v>Pendiente</v>
      </c>
    </row>
    <row r="47" spans="2:9" ht="18" customHeight="1" x14ac:dyDescent="0.35">
      <c r="B47" s="52">
        <v>25</v>
      </c>
      <c r="C47" s="53">
        <v>2028</v>
      </c>
      <c r="D47" s="54" t="s">
        <v>227</v>
      </c>
      <c r="E47" s="55"/>
      <c r="F47" s="51" t="str">
        <f t="shared" si="3"/>
        <v/>
      </c>
      <c r="G47" s="52" t="str">
        <f t="shared" si="0"/>
        <v>≥ IPC</v>
      </c>
      <c r="H47" s="61" t="str">
        <f t="shared" si="1"/>
        <v/>
      </c>
      <c r="I47" s="62" t="str">
        <f t="shared" si="2"/>
        <v>Pendiente</v>
      </c>
    </row>
    <row r="48" spans="2:9" ht="18" customHeight="1" x14ac:dyDescent="0.35">
      <c r="B48" s="52">
        <v>26</v>
      </c>
      <c r="C48" s="53">
        <v>2028</v>
      </c>
      <c r="D48" s="54" t="s">
        <v>228</v>
      </c>
      <c r="E48" s="55"/>
      <c r="F48" s="51" t="str">
        <f t="shared" si="3"/>
        <v/>
      </c>
      <c r="G48" s="52" t="str">
        <f t="shared" si="0"/>
        <v>≥ IPC</v>
      </c>
      <c r="H48" s="61" t="str">
        <f t="shared" si="1"/>
        <v/>
      </c>
      <c r="I48" s="62" t="str">
        <f t="shared" si="2"/>
        <v>Pendiente</v>
      </c>
    </row>
    <row r="49" spans="2:9" ht="18" customHeight="1" x14ac:dyDescent="0.35">
      <c r="B49" s="52">
        <v>27</v>
      </c>
      <c r="C49" s="53">
        <v>2028</v>
      </c>
      <c r="D49" s="54" t="s">
        <v>229</v>
      </c>
      <c r="E49" s="55"/>
      <c r="F49" s="51" t="str">
        <f t="shared" si="3"/>
        <v/>
      </c>
      <c r="G49" s="52" t="str">
        <f t="shared" si="0"/>
        <v>≥ IPC</v>
      </c>
      <c r="H49" s="61" t="str">
        <f t="shared" si="1"/>
        <v/>
      </c>
      <c r="I49" s="62" t="str">
        <f t="shared" si="2"/>
        <v>Pendiente</v>
      </c>
    </row>
    <row r="50" spans="2:9" ht="18" customHeight="1" x14ac:dyDescent="0.35">
      <c r="B50" s="52">
        <v>28</v>
      </c>
      <c r="C50" s="53">
        <v>2028</v>
      </c>
      <c r="D50" s="54" t="s">
        <v>230</v>
      </c>
      <c r="E50" s="55"/>
      <c r="F50" s="51" t="str">
        <f t="shared" si="3"/>
        <v/>
      </c>
      <c r="G50" s="52" t="str">
        <f t="shared" si="0"/>
        <v>≥ IPC</v>
      </c>
      <c r="H50" s="61" t="str">
        <f t="shared" si="1"/>
        <v/>
      </c>
      <c r="I50" s="62" t="str">
        <f t="shared" si="2"/>
        <v>Pendiente</v>
      </c>
    </row>
    <row r="51" spans="2:9" ht="18" customHeight="1" x14ac:dyDescent="0.35">
      <c r="B51" s="52">
        <v>29</v>
      </c>
      <c r="C51" s="53">
        <v>2028</v>
      </c>
      <c r="D51" s="54" t="s">
        <v>231</v>
      </c>
      <c r="E51" s="55"/>
      <c r="F51" s="51" t="str">
        <f t="shared" si="3"/>
        <v/>
      </c>
      <c r="G51" s="52" t="str">
        <f t="shared" si="0"/>
        <v>≥ IPC</v>
      </c>
      <c r="H51" s="61" t="str">
        <f t="shared" si="1"/>
        <v/>
      </c>
      <c r="I51" s="62" t="str">
        <f t="shared" si="2"/>
        <v>Pendiente</v>
      </c>
    </row>
    <row r="52" spans="2:9" ht="18" customHeight="1" x14ac:dyDescent="0.35">
      <c r="B52" s="52">
        <v>30</v>
      </c>
      <c r="C52" s="53">
        <v>2028</v>
      </c>
      <c r="D52" s="54" t="s">
        <v>232</v>
      </c>
      <c r="E52" s="55"/>
      <c r="F52" s="51" t="str">
        <f t="shared" si="3"/>
        <v/>
      </c>
      <c r="G52" s="52" t="str">
        <f t="shared" si="0"/>
        <v>≥ IPC</v>
      </c>
      <c r="H52" s="61" t="str">
        <f t="shared" si="1"/>
        <v/>
      </c>
      <c r="I52" s="62" t="str">
        <f t="shared" si="2"/>
        <v>Pendiente</v>
      </c>
    </row>
    <row r="53" spans="2:9" ht="18" customHeight="1" x14ac:dyDescent="0.35">
      <c r="B53" s="52">
        <v>31</v>
      </c>
      <c r="C53" s="53">
        <v>2028</v>
      </c>
      <c r="D53" s="54" t="s">
        <v>233</v>
      </c>
      <c r="E53" s="55"/>
      <c r="F53" s="51" t="str">
        <f t="shared" si="3"/>
        <v/>
      </c>
      <c r="G53" s="52" t="str">
        <f t="shared" si="0"/>
        <v>≥ IPC</v>
      </c>
      <c r="H53" s="61" t="str">
        <f t="shared" si="1"/>
        <v/>
      </c>
      <c r="I53" s="62" t="str">
        <f t="shared" si="2"/>
        <v>Pendiente</v>
      </c>
    </row>
    <row r="54" spans="2:9" ht="18" customHeight="1" x14ac:dyDescent="0.35">
      <c r="B54" s="52">
        <v>32</v>
      </c>
      <c r="C54" s="53">
        <v>2028</v>
      </c>
      <c r="D54" s="54" t="s">
        <v>234</v>
      </c>
      <c r="E54" s="55"/>
      <c r="F54" s="51" t="str">
        <f t="shared" si="3"/>
        <v/>
      </c>
      <c r="G54" s="52" t="str">
        <f t="shared" si="0"/>
        <v>≥ IPC</v>
      </c>
      <c r="H54" s="61" t="str">
        <f t="shared" si="1"/>
        <v/>
      </c>
      <c r="I54" s="62" t="str">
        <f t="shared" si="2"/>
        <v>Pendiente</v>
      </c>
    </row>
    <row r="55" spans="2:9" ht="18" customHeight="1" x14ac:dyDescent="0.35">
      <c r="B55" s="52">
        <v>33</v>
      </c>
      <c r="C55" s="53">
        <v>2028</v>
      </c>
      <c r="D55" s="54" t="s">
        <v>235</v>
      </c>
      <c r="E55" s="55"/>
      <c r="F55" s="51" t="str">
        <f t="shared" si="3"/>
        <v/>
      </c>
      <c r="G55" s="52" t="str">
        <f t="shared" ref="G55:G82" si="4">IFERROR(VLOOKUP(C55,$B$14:$C$18,2,FALSE()),"")</f>
        <v>≥ IPC</v>
      </c>
      <c r="H55" s="61" t="str">
        <f t="shared" ref="H55:H82" si="5">IF(F55="","","N/A")</f>
        <v/>
      </c>
      <c r="I55" s="62" t="str">
        <f t="shared" ref="I55:I82" si="6">IF(F55="","Pendiente","Manual")</f>
        <v>Pendiente</v>
      </c>
    </row>
    <row r="56" spans="2:9" ht="18" customHeight="1" x14ac:dyDescent="0.35">
      <c r="B56" s="52">
        <v>34</v>
      </c>
      <c r="C56" s="53">
        <v>2028</v>
      </c>
      <c r="D56" s="54" t="s">
        <v>236</v>
      </c>
      <c r="E56" s="55"/>
      <c r="F56" s="51" t="str">
        <f t="shared" ref="F56:F87" si="7">IFERROR(IF(OR(E56="",E55="",E55=0),"",(E56-E55)/E55),"")</f>
        <v/>
      </c>
      <c r="G56" s="52" t="str">
        <f t="shared" si="4"/>
        <v>≥ IPC</v>
      </c>
      <c r="H56" s="61" t="str">
        <f t="shared" si="5"/>
        <v/>
      </c>
      <c r="I56" s="62" t="str">
        <f t="shared" si="6"/>
        <v>Pendiente</v>
      </c>
    </row>
    <row r="57" spans="2:9" ht="18" customHeight="1" x14ac:dyDescent="0.35">
      <c r="B57" s="52">
        <v>35</v>
      </c>
      <c r="C57" s="53">
        <v>2028</v>
      </c>
      <c r="D57" s="54" t="s">
        <v>237</v>
      </c>
      <c r="E57" s="55"/>
      <c r="F57" s="51" t="str">
        <f t="shared" si="7"/>
        <v/>
      </c>
      <c r="G57" s="52" t="str">
        <f t="shared" si="4"/>
        <v>≥ IPC</v>
      </c>
      <c r="H57" s="61" t="str">
        <f t="shared" si="5"/>
        <v/>
      </c>
      <c r="I57" s="62" t="str">
        <f t="shared" si="6"/>
        <v>Pendiente</v>
      </c>
    </row>
    <row r="58" spans="2:9" ht="18" customHeight="1" x14ac:dyDescent="0.35">
      <c r="B58" s="52">
        <v>36</v>
      </c>
      <c r="C58" s="53">
        <v>2028</v>
      </c>
      <c r="D58" s="54" t="s">
        <v>238</v>
      </c>
      <c r="E58" s="55"/>
      <c r="F58" s="51" t="str">
        <f t="shared" si="7"/>
        <v/>
      </c>
      <c r="G58" s="52" t="str">
        <f t="shared" si="4"/>
        <v>≥ IPC</v>
      </c>
      <c r="H58" s="61" t="str">
        <f t="shared" si="5"/>
        <v/>
      </c>
      <c r="I58" s="62" t="str">
        <f t="shared" si="6"/>
        <v>Pendiente</v>
      </c>
    </row>
    <row r="59" spans="2:9" ht="18" customHeight="1" x14ac:dyDescent="0.35">
      <c r="B59" s="52">
        <v>37</v>
      </c>
      <c r="C59" s="53">
        <v>2029</v>
      </c>
      <c r="D59" s="54" t="s">
        <v>227</v>
      </c>
      <c r="E59" s="55"/>
      <c r="F59" s="51" t="str">
        <f t="shared" si="7"/>
        <v/>
      </c>
      <c r="G59" s="52" t="str">
        <f t="shared" si="4"/>
        <v>≥ IPC</v>
      </c>
      <c r="H59" s="61" t="str">
        <f t="shared" si="5"/>
        <v/>
      </c>
      <c r="I59" s="62" t="str">
        <f t="shared" si="6"/>
        <v>Pendiente</v>
      </c>
    </row>
    <row r="60" spans="2:9" ht="18" customHeight="1" x14ac:dyDescent="0.35">
      <c r="B60" s="52">
        <v>38</v>
      </c>
      <c r="C60" s="53">
        <v>2029</v>
      </c>
      <c r="D60" s="54" t="s">
        <v>228</v>
      </c>
      <c r="E60" s="55"/>
      <c r="F60" s="51" t="str">
        <f t="shared" si="7"/>
        <v/>
      </c>
      <c r="G60" s="52" t="str">
        <f t="shared" si="4"/>
        <v>≥ IPC</v>
      </c>
      <c r="H60" s="61" t="str">
        <f t="shared" si="5"/>
        <v/>
      </c>
      <c r="I60" s="62" t="str">
        <f t="shared" si="6"/>
        <v>Pendiente</v>
      </c>
    </row>
    <row r="61" spans="2:9" ht="18" customHeight="1" x14ac:dyDescent="0.35">
      <c r="B61" s="52">
        <v>39</v>
      </c>
      <c r="C61" s="53">
        <v>2029</v>
      </c>
      <c r="D61" s="54" t="s">
        <v>229</v>
      </c>
      <c r="E61" s="55"/>
      <c r="F61" s="51" t="str">
        <f t="shared" si="7"/>
        <v/>
      </c>
      <c r="G61" s="52" t="str">
        <f t="shared" si="4"/>
        <v>≥ IPC</v>
      </c>
      <c r="H61" s="61" t="str">
        <f t="shared" si="5"/>
        <v/>
      </c>
      <c r="I61" s="62" t="str">
        <f t="shared" si="6"/>
        <v>Pendiente</v>
      </c>
    </row>
    <row r="62" spans="2:9" ht="18" customHeight="1" x14ac:dyDescent="0.35">
      <c r="B62" s="52">
        <v>40</v>
      </c>
      <c r="C62" s="53">
        <v>2029</v>
      </c>
      <c r="D62" s="54" t="s">
        <v>230</v>
      </c>
      <c r="E62" s="55"/>
      <c r="F62" s="51" t="str">
        <f t="shared" si="7"/>
        <v/>
      </c>
      <c r="G62" s="52" t="str">
        <f t="shared" si="4"/>
        <v>≥ IPC</v>
      </c>
      <c r="H62" s="61" t="str">
        <f t="shared" si="5"/>
        <v/>
      </c>
      <c r="I62" s="62" t="str">
        <f t="shared" si="6"/>
        <v>Pendiente</v>
      </c>
    </row>
    <row r="63" spans="2:9" ht="18" customHeight="1" x14ac:dyDescent="0.35">
      <c r="B63" s="52">
        <v>41</v>
      </c>
      <c r="C63" s="53">
        <v>2029</v>
      </c>
      <c r="D63" s="54" t="s">
        <v>231</v>
      </c>
      <c r="E63" s="55"/>
      <c r="F63" s="51" t="str">
        <f t="shared" si="7"/>
        <v/>
      </c>
      <c r="G63" s="52" t="str">
        <f t="shared" si="4"/>
        <v>≥ IPC</v>
      </c>
      <c r="H63" s="61" t="str">
        <f t="shared" si="5"/>
        <v/>
      </c>
      <c r="I63" s="62" t="str">
        <f t="shared" si="6"/>
        <v>Pendiente</v>
      </c>
    </row>
    <row r="64" spans="2:9" ht="18" customHeight="1" x14ac:dyDescent="0.35">
      <c r="B64" s="52">
        <v>42</v>
      </c>
      <c r="C64" s="53">
        <v>2029</v>
      </c>
      <c r="D64" s="54" t="s">
        <v>232</v>
      </c>
      <c r="E64" s="55"/>
      <c r="F64" s="51" t="str">
        <f t="shared" si="7"/>
        <v/>
      </c>
      <c r="G64" s="52" t="str">
        <f t="shared" si="4"/>
        <v>≥ IPC</v>
      </c>
      <c r="H64" s="61" t="str">
        <f t="shared" si="5"/>
        <v/>
      </c>
      <c r="I64" s="62" t="str">
        <f t="shared" si="6"/>
        <v>Pendiente</v>
      </c>
    </row>
    <row r="65" spans="2:9" ht="18" customHeight="1" x14ac:dyDescent="0.35">
      <c r="B65" s="52">
        <v>43</v>
      </c>
      <c r="C65" s="53">
        <v>2029</v>
      </c>
      <c r="D65" s="54" t="s">
        <v>233</v>
      </c>
      <c r="E65" s="55"/>
      <c r="F65" s="51" t="str">
        <f t="shared" si="7"/>
        <v/>
      </c>
      <c r="G65" s="52" t="str">
        <f t="shared" si="4"/>
        <v>≥ IPC</v>
      </c>
      <c r="H65" s="61" t="str">
        <f t="shared" si="5"/>
        <v/>
      </c>
      <c r="I65" s="62" t="str">
        <f t="shared" si="6"/>
        <v>Pendiente</v>
      </c>
    </row>
    <row r="66" spans="2:9" ht="18" customHeight="1" x14ac:dyDescent="0.35">
      <c r="B66" s="52">
        <v>44</v>
      </c>
      <c r="C66" s="53">
        <v>2029</v>
      </c>
      <c r="D66" s="54" t="s">
        <v>234</v>
      </c>
      <c r="E66" s="55"/>
      <c r="F66" s="51" t="str">
        <f t="shared" si="7"/>
        <v/>
      </c>
      <c r="G66" s="52" t="str">
        <f t="shared" si="4"/>
        <v>≥ IPC</v>
      </c>
      <c r="H66" s="61" t="str">
        <f t="shared" si="5"/>
        <v/>
      </c>
      <c r="I66" s="62" t="str">
        <f t="shared" si="6"/>
        <v>Pendiente</v>
      </c>
    </row>
    <row r="67" spans="2:9" ht="18" customHeight="1" x14ac:dyDescent="0.35">
      <c r="B67" s="52">
        <v>45</v>
      </c>
      <c r="C67" s="53">
        <v>2029</v>
      </c>
      <c r="D67" s="54" t="s">
        <v>235</v>
      </c>
      <c r="E67" s="55"/>
      <c r="F67" s="51" t="str">
        <f t="shared" si="7"/>
        <v/>
      </c>
      <c r="G67" s="52" t="str">
        <f t="shared" si="4"/>
        <v>≥ IPC</v>
      </c>
      <c r="H67" s="61" t="str">
        <f t="shared" si="5"/>
        <v/>
      </c>
      <c r="I67" s="62" t="str">
        <f t="shared" si="6"/>
        <v>Pendiente</v>
      </c>
    </row>
    <row r="68" spans="2:9" ht="18" customHeight="1" x14ac:dyDescent="0.35">
      <c r="B68" s="52">
        <v>46</v>
      </c>
      <c r="C68" s="53">
        <v>2029</v>
      </c>
      <c r="D68" s="54" t="s">
        <v>236</v>
      </c>
      <c r="E68" s="55"/>
      <c r="F68" s="51" t="str">
        <f t="shared" si="7"/>
        <v/>
      </c>
      <c r="G68" s="52" t="str">
        <f t="shared" si="4"/>
        <v>≥ IPC</v>
      </c>
      <c r="H68" s="61" t="str">
        <f t="shared" si="5"/>
        <v/>
      </c>
      <c r="I68" s="62" t="str">
        <f t="shared" si="6"/>
        <v>Pendiente</v>
      </c>
    </row>
    <row r="69" spans="2:9" ht="18" customHeight="1" x14ac:dyDescent="0.35">
      <c r="B69" s="52">
        <v>47</v>
      </c>
      <c r="C69" s="53">
        <v>2029</v>
      </c>
      <c r="D69" s="54" t="s">
        <v>237</v>
      </c>
      <c r="E69" s="55"/>
      <c r="F69" s="51" t="str">
        <f t="shared" si="7"/>
        <v/>
      </c>
      <c r="G69" s="52" t="str">
        <f t="shared" si="4"/>
        <v>≥ IPC</v>
      </c>
      <c r="H69" s="61" t="str">
        <f t="shared" si="5"/>
        <v/>
      </c>
      <c r="I69" s="62" t="str">
        <f t="shared" si="6"/>
        <v>Pendiente</v>
      </c>
    </row>
    <row r="70" spans="2:9" ht="18" customHeight="1" x14ac:dyDescent="0.35">
      <c r="B70" s="52">
        <v>48</v>
      </c>
      <c r="C70" s="53">
        <v>2029</v>
      </c>
      <c r="D70" s="54" t="s">
        <v>238</v>
      </c>
      <c r="E70" s="55"/>
      <c r="F70" s="51" t="str">
        <f t="shared" si="7"/>
        <v/>
      </c>
      <c r="G70" s="52" t="str">
        <f t="shared" si="4"/>
        <v>≥ IPC</v>
      </c>
      <c r="H70" s="61" t="str">
        <f t="shared" si="5"/>
        <v/>
      </c>
      <c r="I70" s="62" t="str">
        <f t="shared" si="6"/>
        <v>Pendiente</v>
      </c>
    </row>
    <row r="71" spans="2:9" ht="18" customHeight="1" x14ac:dyDescent="0.35">
      <c r="B71" s="52">
        <v>49</v>
      </c>
      <c r="C71" s="53">
        <v>2030</v>
      </c>
      <c r="D71" s="54" t="s">
        <v>227</v>
      </c>
      <c r="E71" s="55"/>
      <c r="F71" s="51" t="str">
        <f t="shared" si="7"/>
        <v/>
      </c>
      <c r="G71" s="52" t="str">
        <f t="shared" si="4"/>
        <v>≥ IPC</v>
      </c>
      <c r="H71" s="61" t="str">
        <f t="shared" si="5"/>
        <v/>
      </c>
      <c r="I71" s="62" t="str">
        <f t="shared" si="6"/>
        <v>Pendiente</v>
      </c>
    </row>
    <row r="72" spans="2:9" ht="18" customHeight="1" x14ac:dyDescent="0.35">
      <c r="B72" s="52">
        <v>50</v>
      </c>
      <c r="C72" s="53">
        <v>2030</v>
      </c>
      <c r="D72" s="54" t="s">
        <v>228</v>
      </c>
      <c r="E72" s="55"/>
      <c r="F72" s="51" t="str">
        <f t="shared" si="7"/>
        <v/>
      </c>
      <c r="G72" s="52" t="str">
        <f t="shared" si="4"/>
        <v>≥ IPC</v>
      </c>
      <c r="H72" s="61" t="str">
        <f t="shared" si="5"/>
        <v/>
      </c>
      <c r="I72" s="62" t="str">
        <f t="shared" si="6"/>
        <v>Pendiente</v>
      </c>
    </row>
    <row r="73" spans="2:9" ht="18" customHeight="1" x14ac:dyDescent="0.35">
      <c r="B73" s="52">
        <v>51</v>
      </c>
      <c r="C73" s="53">
        <v>2030</v>
      </c>
      <c r="D73" s="54" t="s">
        <v>229</v>
      </c>
      <c r="E73" s="55"/>
      <c r="F73" s="51" t="str">
        <f t="shared" si="7"/>
        <v/>
      </c>
      <c r="G73" s="52" t="str">
        <f t="shared" si="4"/>
        <v>≥ IPC</v>
      </c>
      <c r="H73" s="61" t="str">
        <f t="shared" si="5"/>
        <v/>
      </c>
      <c r="I73" s="62" t="str">
        <f t="shared" si="6"/>
        <v>Pendiente</v>
      </c>
    </row>
    <row r="74" spans="2:9" ht="18" customHeight="1" x14ac:dyDescent="0.35">
      <c r="B74" s="52">
        <v>52</v>
      </c>
      <c r="C74" s="53">
        <v>2030</v>
      </c>
      <c r="D74" s="54" t="s">
        <v>230</v>
      </c>
      <c r="E74" s="55"/>
      <c r="F74" s="51" t="str">
        <f t="shared" si="7"/>
        <v/>
      </c>
      <c r="G74" s="52" t="str">
        <f t="shared" si="4"/>
        <v>≥ IPC</v>
      </c>
      <c r="H74" s="61" t="str">
        <f t="shared" si="5"/>
        <v/>
      </c>
      <c r="I74" s="62" t="str">
        <f t="shared" si="6"/>
        <v>Pendiente</v>
      </c>
    </row>
    <row r="75" spans="2:9" ht="18" customHeight="1" x14ac:dyDescent="0.35">
      <c r="B75" s="52">
        <v>53</v>
      </c>
      <c r="C75" s="53">
        <v>2030</v>
      </c>
      <c r="D75" s="54" t="s">
        <v>231</v>
      </c>
      <c r="E75" s="55"/>
      <c r="F75" s="51" t="str">
        <f t="shared" si="7"/>
        <v/>
      </c>
      <c r="G75" s="52" t="str">
        <f t="shared" si="4"/>
        <v>≥ IPC</v>
      </c>
      <c r="H75" s="61" t="str">
        <f t="shared" si="5"/>
        <v/>
      </c>
      <c r="I75" s="62" t="str">
        <f t="shared" si="6"/>
        <v>Pendiente</v>
      </c>
    </row>
    <row r="76" spans="2:9" ht="18" customHeight="1" x14ac:dyDescent="0.35">
      <c r="B76" s="52">
        <v>54</v>
      </c>
      <c r="C76" s="53">
        <v>2030</v>
      </c>
      <c r="D76" s="54" t="s">
        <v>232</v>
      </c>
      <c r="E76" s="55"/>
      <c r="F76" s="51" t="str">
        <f t="shared" si="7"/>
        <v/>
      </c>
      <c r="G76" s="52" t="str">
        <f t="shared" si="4"/>
        <v>≥ IPC</v>
      </c>
      <c r="H76" s="61" t="str">
        <f t="shared" si="5"/>
        <v/>
      </c>
      <c r="I76" s="62" t="str">
        <f t="shared" si="6"/>
        <v>Pendiente</v>
      </c>
    </row>
    <row r="77" spans="2:9" ht="18" customHeight="1" x14ac:dyDescent="0.35">
      <c r="B77" s="52">
        <v>55</v>
      </c>
      <c r="C77" s="53">
        <v>2030</v>
      </c>
      <c r="D77" s="54" t="s">
        <v>233</v>
      </c>
      <c r="E77" s="55"/>
      <c r="F77" s="51" t="str">
        <f t="shared" si="7"/>
        <v/>
      </c>
      <c r="G77" s="52" t="str">
        <f t="shared" si="4"/>
        <v>≥ IPC</v>
      </c>
      <c r="H77" s="61" t="str">
        <f t="shared" si="5"/>
        <v/>
      </c>
      <c r="I77" s="62" t="str">
        <f t="shared" si="6"/>
        <v>Pendiente</v>
      </c>
    </row>
    <row r="78" spans="2:9" ht="18" customHeight="1" x14ac:dyDescent="0.35">
      <c r="B78" s="52">
        <v>56</v>
      </c>
      <c r="C78" s="53">
        <v>2030</v>
      </c>
      <c r="D78" s="54" t="s">
        <v>234</v>
      </c>
      <c r="E78" s="55"/>
      <c r="F78" s="51" t="str">
        <f t="shared" si="7"/>
        <v/>
      </c>
      <c r="G78" s="52" t="str">
        <f t="shared" si="4"/>
        <v>≥ IPC</v>
      </c>
      <c r="H78" s="61" t="str">
        <f t="shared" si="5"/>
        <v/>
      </c>
      <c r="I78" s="62" t="str">
        <f t="shared" si="6"/>
        <v>Pendiente</v>
      </c>
    </row>
    <row r="79" spans="2:9" ht="18" customHeight="1" x14ac:dyDescent="0.35">
      <c r="B79" s="52">
        <v>57</v>
      </c>
      <c r="C79" s="53">
        <v>2030</v>
      </c>
      <c r="D79" s="54" t="s">
        <v>235</v>
      </c>
      <c r="E79" s="55"/>
      <c r="F79" s="51" t="str">
        <f t="shared" si="7"/>
        <v/>
      </c>
      <c r="G79" s="52" t="str">
        <f t="shared" si="4"/>
        <v>≥ IPC</v>
      </c>
      <c r="H79" s="61" t="str">
        <f t="shared" si="5"/>
        <v/>
      </c>
      <c r="I79" s="62" t="str">
        <f t="shared" si="6"/>
        <v>Pendiente</v>
      </c>
    </row>
    <row r="80" spans="2:9" ht="18" customHeight="1" x14ac:dyDescent="0.35">
      <c r="B80" s="52">
        <v>58</v>
      </c>
      <c r="C80" s="53">
        <v>2030</v>
      </c>
      <c r="D80" s="54" t="s">
        <v>236</v>
      </c>
      <c r="E80" s="55"/>
      <c r="F80" s="51" t="str">
        <f t="shared" si="7"/>
        <v/>
      </c>
      <c r="G80" s="52" t="str">
        <f t="shared" si="4"/>
        <v>≥ IPC</v>
      </c>
      <c r="H80" s="61" t="str">
        <f t="shared" si="5"/>
        <v/>
      </c>
      <c r="I80" s="62" t="str">
        <f t="shared" si="6"/>
        <v>Pendiente</v>
      </c>
    </row>
    <row r="81" spans="2:9" ht="18" customHeight="1" x14ac:dyDescent="0.35">
      <c r="B81" s="52">
        <v>59</v>
      </c>
      <c r="C81" s="53">
        <v>2030</v>
      </c>
      <c r="D81" s="54" t="s">
        <v>237</v>
      </c>
      <c r="E81" s="55"/>
      <c r="F81" s="51" t="str">
        <f t="shared" si="7"/>
        <v/>
      </c>
      <c r="G81" s="52" t="str">
        <f t="shared" si="4"/>
        <v>≥ IPC</v>
      </c>
      <c r="H81" s="61" t="str">
        <f t="shared" si="5"/>
        <v/>
      </c>
      <c r="I81" s="62" t="str">
        <f t="shared" si="6"/>
        <v>Pendiente</v>
      </c>
    </row>
    <row r="82" spans="2:9" ht="18" customHeight="1" x14ac:dyDescent="0.35">
      <c r="B82" s="52">
        <v>60</v>
      </c>
      <c r="C82" s="53">
        <v>2030</v>
      </c>
      <c r="D82" s="54" t="s">
        <v>238</v>
      </c>
      <c r="E82" s="55"/>
      <c r="F82" s="51" t="str">
        <f t="shared" si="7"/>
        <v/>
      </c>
      <c r="G82" s="52" t="str">
        <f t="shared" si="4"/>
        <v>≥ IPC</v>
      </c>
      <c r="H82" s="61" t="str">
        <f t="shared" si="5"/>
        <v/>
      </c>
      <c r="I82" s="62" t="str">
        <f t="shared" si="6"/>
        <v>Pendiente</v>
      </c>
    </row>
  </sheetData>
  <mergeCells count="29">
    <mergeCell ref="E16:I16"/>
    <mergeCell ref="B5:C5"/>
    <mergeCell ref="B20:I20"/>
    <mergeCell ref="C13:D13"/>
    <mergeCell ref="C18:D18"/>
    <mergeCell ref="E18:I18"/>
    <mergeCell ref="E17:I17"/>
    <mergeCell ref="B12:I12"/>
    <mergeCell ref="B21:I21"/>
    <mergeCell ref="C16:D16"/>
    <mergeCell ref="B2:I2"/>
    <mergeCell ref="D9:I9"/>
    <mergeCell ref="E13:I13"/>
    <mergeCell ref="B8:C8"/>
    <mergeCell ref="D8:I8"/>
    <mergeCell ref="E15:I15"/>
    <mergeCell ref="D5:I5"/>
    <mergeCell ref="B10:C10"/>
    <mergeCell ref="B9:C9"/>
    <mergeCell ref="C17:D17"/>
    <mergeCell ref="B6:C6"/>
    <mergeCell ref="D10:I10"/>
    <mergeCell ref="B7:C7"/>
    <mergeCell ref="C15:D15"/>
    <mergeCell ref="B3:I3"/>
    <mergeCell ref="C14:D14"/>
    <mergeCell ref="E14:I14"/>
    <mergeCell ref="D7:I7"/>
    <mergeCell ref="D6:I6"/>
  </mergeCells>
  <conditionalFormatting sqref="H23:H82">
    <cfRule type="expression" dxfId="125" priority="2">
      <formula>AND(ISNUMBER(H23),H23&gt;=0.95)</formula>
    </cfRule>
    <cfRule type="expression" dxfId="124" priority="3">
      <formula>AND(ISNUMBER(H23),H23&gt;=0.8,H23&lt;0.95)</formula>
    </cfRule>
    <cfRule type="expression" dxfId="123" priority="4">
      <formula>AND(ISNUMBER(H23),H23&lt;0.8)</formula>
    </cfRule>
  </conditionalFormatting>
  <conditionalFormatting sqref="I23:I82">
    <cfRule type="expression" dxfId="122" priority="5">
      <formula>I23="Cumple"</formula>
    </cfRule>
    <cfRule type="expression" dxfId="121" priority="6">
      <formula>I23="En riesgo"</formula>
    </cfRule>
    <cfRule type="expression" dxfId="120" priority="7">
      <formula>I23="Crítico"</formula>
    </cfRule>
    <cfRule type="expression" dxfId="119" priority="8">
      <formula>I23="Pendiente"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6FB2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97" t="s">
        <v>258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94" t="s">
        <v>255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157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158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159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160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VLOOKUP("IND-09",Parámetros!$B$6:$F$30,5,FALSE())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259</v>
      </c>
      <c r="F22" s="21" t="s">
        <v>210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58"/>
      <c r="F23" s="58"/>
      <c r="G23" s="56" t="str">
        <f t="shared" ref="G23:G54" si="0">IFERROR(IF(OR(E23="",F23=""),"",E23-F23),"")</f>
        <v/>
      </c>
      <c r="H23" s="57">
        <f t="shared" ref="H23:H54" si="1">IFERROR(VLOOKUP(C23,$B$14:$C$18,2,FALSE()),"")</f>
        <v>0</v>
      </c>
      <c r="I23" s="56" t="str">
        <f t="shared" ref="I23:I54" si="2">IFERROR(IF(OR(G23="",NOT(ISNUMBER(H23))),"",1-ABS(G23-H23)/MAX(ABS(H23),1)),"")</f>
        <v/>
      </c>
      <c r="J23" s="32" t="str">
        <f t="shared" ref="J23:J54" si="3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58"/>
      <c r="F24" s="58"/>
      <c r="G24" s="56" t="str">
        <f t="shared" si="0"/>
        <v/>
      </c>
      <c r="H24" s="57">
        <f t="shared" si="1"/>
        <v>0</v>
      </c>
      <c r="I24" s="56" t="str">
        <f t="shared" si="2"/>
        <v/>
      </c>
      <c r="J24" s="32" t="str">
        <f t="shared" si="3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58"/>
      <c r="F25" s="58"/>
      <c r="G25" s="56" t="str">
        <f t="shared" si="0"/>
        <v/>
      </c>
      <c r="H25" s="57">
        <f t="shared" si="1"/>
        <v>0</v>
      </c>
      <c r="I25" s="56" t="str">
        <f t="shared" si="2"/>
        <v/>
      </c>
      <c r="J25" s="32" t="str">
        <f t="shared" si="3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58"/>
      <c r="F26" s="58"/>
      <c r="G26" s="56" t="str">
        <f t="shared" si="0"/>
        <v/>
      </c>
      <c r="H26" s="57">
        <f t="shared" si="1"/>
        <v>0</v>
      </c>
      <c r="I26" s="56" t="str">
        <f t="shared" si="2"/>
        <v/>
      </c>
      <c r="J26" s="32" t="str">
        <f t="shared" si="3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58"/>
      <c r="F27" s="58"/>
      <c r="G27" s="56" t="str">
        <f t="shared" si="0"/>
        <v/>
      </c>
      <c r="H27" s="57">
        <f t="shared" si="1"/>
        <v>0</v>
      </c>
      <c r="I27" s="56" t="str">
        <f t="shared" si="2"/>
        <v/>
      </c>
      <c r="J27" s="32" t="str">
        <f t="shared" si="3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58"/>
      <c r="F28" s="58"/>
      <c r="G28" s="56" t="str">
        <f t="shared" si="0"/>
        <v/>
      </c>
      <c r="H28" s="57">
        <f t="shared" si="1"/>
        <v>0</v>
      </c>
      <c r="I28" s="56" t="str">
        <f t="shared" si="2"/>
        <v/>
      </c>
      <c r="J28" s="32" t="str">
        <f t="shared" si="3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58"/>
      <c r="F29" s="58"/>
      <c r="G29" s="56" t="str">
        <f t="shared" si="0"/>
        <v/>
      </c>
      <c r="H29" s="57">
        <f t="shared" si="1"/>
        <v>0</v>
      </c>
      <c r="I29" s="56" t="str">
        <f t="shared" si="2"/>
        <v/>
      </c>
      <c r="J29" s="32" t="str">
        <f t="shared" si="3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58"/>
      <c r="F30" s="58"/>
      <c r="G30" s="56" t="str">
        <f t="shared" si="0"/>
        <v/>
      </c>
      <c r="H30" s="57">
        <f t="shared" si="1"/>
        <v>0</v>
      </c>
      <c r="I30" s="56" t="str">
        <f t="shared" si="2"/>
        <v/>
      </c>
      <c r="J30" s="32" t="str">
        <f t="shared" si="3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58"/>
      <c r="F31" s="58"/>
      <c r="G31" s="56" t="str">
        <f t="shared" si="0"/>
        <v/>
      </c>
      <c r="H31" s="57">
        <f t="shared" si="1"/>
        <v>0</v>
      </c>
      <c r="I31" s="56" t="str">
        <f t="shared" si="2"/>
        <v/>
      </c>
      <c r="J31" s="32" t="str">
        <f t="shared" si="3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58"/>
      <c r="F32" s="58"/>
      <c r="G32" s="56" t="str">
        <f t="shared" si="0"/>
        <v/>
      </c>
      <c r="H32" s="57">
        <f t="shared" si="1"/>
        <v>0</v>
      </c>
      <c r="I32" s="56" t="str">
        <f t="shared" si="2"/>
        <v/>
      </c>
      <c r="J32" s="32" t="str">
        <f t="shared" si="3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58"/>
      <c r="F33" s="58"/>
      <c r="G33" s="56" t="str">
        <f t="shared" si="0"/>
        <v/>
      </c>
      <c r="H33" s="57">
        <f t="shared" si="1"/>
        <v>0</v>
      </c>
      <c r="I33" s="56" t="str">
        <f t="shared" si="2"/>
        <v/>
      </c>
      <c r="J33" s="32" t="str">
        <f t="shared" si="3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58"/>
      <c r="F34" s="58"/>
      <c r="G34" s="56" t="str">
        <f t="shared" si="0"/>
        <v/>
      </c>
      <c r="H34" s="57">
        <f t="shared" si="1"/>
        <v>0</v>
      </c>
      <c r="I34" s="56" t="str">
        <f t="shared" si="2"/>
        <v/>
      </c>
      <c r="J34" s="32" t="str">
        <f t="shared" si="3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58"/>
      <c r="F35" s="58"/>
      <c r="G35" s="56" t="str">
        <f t="shared" si="0"/>
        <v/>
      </c>
      <c r="H35" s="57">
        <f t="shared" si="1"/>
        <v>0</v>
      </c>
      <c r="I35" s="56" t="str">
        <f t="shared" si="2"/>
        <v/>
      </c>
      <c r="J35" s="32" t="str">
        <f t="shared" si="3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58"/>
      <c r="F36" s="58"/>
      <c r="G36" s="56" t="str">
        <f t="shared" si="0"/>
        <v/>
      </c>
      <c r="H36" s="57">
        <f t="shared" si="1"/>
        <v>0</v>
      </c>
      <c r="I36" s="56" t="str">
        <f t="shared" si="2"/>
        <v/>
      </c>
      <c r="J36" s="32" t="str">
        <f t="shared" si="3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58"/>
      <c r="F37" s="58"/>
      <c r="G37" s="56" t="str">
        <f t="shared" si="0"/>
        <v/>
      </c>
      <c r="H37" s="57">
        <f t="shared" si="1"/>
        <v>0</v>
      </c>
      <c r="I37" s="56" t="str">
        <f t="shared" si="2"/>
        <v/>
      </c>
      <c r="J37" s="32" t="str">
        <f t="shared" si="3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58"/>
      <c r="F38" s="58"/>
      <c r="G38" s="56" t="str">
        <f t="shared" si="0"/>
        <v/>
      </c>
      <c r="H38" s="57">
        <f t="shared" si="1"/>
        <v>0</v>
      </c>
      <c r="I38" s="56" t="str">
        <f t="shared" si="2"/>
        <v/>
      </c>
      <c r="J38" s="3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58"/>
      <c r="F39" s="58"/>
      <c r="G39" s="56" t="str">
        <f t="shared" si="0"/>
        <v/>
      </c>
      <c r="H39" s="57">
        <f t="shared" si="1"/>
        <v>0</v>
      </c>
      <c r="I39" s="56" t="str">
        <f t="shared" si="2"/>
        <v/>
      </c>
      <c r="J39" s="3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58"/>
      <c r="F40" s="58"/>
      <c r="G40" s="56" t="str">
        <f t="shared" si="0"/>
        <v/>
      </c>
      <c r="H40" s="57">
        <f t="shared" si="1"/>
        <v>0</v>
      </c>
      <c r="I40" s="56" t="str">
        <f t="shared" si="2"/>
        <v/>
      </c>
      <c r="J40" s="3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58"/>
      <c r="F41" s="58"/>
      <c r="G41" s="56" t="str">
        <f t="shared" si="0"/>
        <v/>
      </c>
      <c r="H41" s="57">
        <f t="shared" si="1"/>
        <v>0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58"/>
      <c r="F42" s="58"/>
      <c r="G42" s="56" t="str">
        <f t="shared" si="0"/>
        <v/>
      </c>
      <c r="H42" s="57">
        <f t="shared" si="1"/>
        <v>0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58"/>
      <c r="F43" s="58"/>
      <c r="G43" s="56" t="str">
        <f t="shared" si="0"/>
        <v/>
      </c>
      <c r="H43" s="57">
        <f t="shared" si="1"/>
        <v>0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58"/>
      <c r="F44" s="58"/>
      <c r="G44" s="56" t="str">
        <f t="shared" si="0"/>
        <v/>
      </c>
      <c r="H44" s="57">
        <f t="shared" si="1"/>
        <v>0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58"/>
      <c r="F45" s="58"/>
      <c r="G45" s="56" t="str">
        <f t="shared" si="0"/>
        <v/>
      </c>
      <c r="H45" s="57">
        <f t="shared" si="1"/>
        <v>0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58"/>
      <c r="F46" s="58"/>
      <c r="G46" s="56" t="str">
        <f t="shared" si="0"/>
        <v/>
      </c>
      <c r="H46" s="57">
        <f t="shared" si="1"/>
        <v>0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58"/>
      <c r="F47" s="58"/>
      <c r="G47" s="56" t="str">
        <f t="shared" si="0"/>
        <v/>
      </c>
      <c r="H47" s="57">
        <f t="shared" si="1"/>
        <v>0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58"/>
      <c r="F48" s="58"/>
      <c r="G48" s="56" t="str">
        <f t="shared" si="0"/>
        <v/>
      </c>
      <c r="H48" s="57">
        <f t="shared" si="1"/>
        <v>0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58"/>
      <c r="F49" s="58"/>
      <c r="G49" s="56" t="str">
        <f t="shared" si="0"/>
        <v/>
      </c>
      <c r="H49" s="57">
        <f t="shared" si="1"/>
        <v>0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58"/>
      <c r="F50" s="58"/>
      <c r="G50" s="56" t="str">
        <f t="shared" si="0"/>
        <v/>
      </c>
      <c r="H50" s="57">
        <f t="shared" si="1"/>
        <v>0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58"/>
      <c r="F51" s="58"/>
      <c r="G51" s="56" t="str">
        <f t="shared" si="0"/>
        <v/>
      </c>
      <c r="H51" s="57">
        <f t="shared" si="1"/>
        <v>0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58"/>
      <c r="F52" s="58"/>
      <c r="G52" s="56" t="str">
        <f t="shared" si="0"/>
        <v/>
      </c>
      <c r="H52" s="57">
        <f t="shared" si="1"/>
        <v>0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58"/>
      <c r="F53" s="58"/>
      <c r="G53" s="56" t="str">
        <f t="shared" si="0"/>
        <v/>
      </c>
      <c r="H53" s="57">
        <f t="shared" si="1"/>
        <v>0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58"/>
      <c r="F54" s="58"/>
      <c r="G54" s="56" t="str">
        <f t="shared" si="0"/>
        <v/>
      </c>
      <c r="H54" s="57">
        <f t="shared" si="1"/>
        <v>0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58"/>
      <c r="F55" s="58"/>
      <c r="G55" s="56" t="str">
        <f t="shared" ref="G55:G86" si="4">IFERROR(IF(OR(E55="",F55=""),"",E55-F55),"")</f>
        <v/>
      </c>
      <c r="H55" s="57">
        <f t="shared" ref="H55:H82" si="5">IFERROR(VLOOKUP(C55,$B$14:$C$18,2,FALSE()),"")</f>
        <v>0</v>
      </c>
      <c r="I55" s="56" t="str">
        <f t="shared" ref="I55:I86" si="6">IFERROR(IF(OR(G55="",NOT(ISNUMBER(H55))),"",1-ABS(G55-H55)/MAX(ABS(H55),1)),"")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58"/>
      <c r="F56" s="58"/>
      <c r="G56" s="56" t="str">
        <f t="shared" si="4"/>
        <v/>
      </c>
      <c r="H56" s="57">
        <f t="shared" si="5"/>
        <v>0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58"/>
      <c r="F57" s="58"/>
      <c r="G57" s="56" t="str">
        <f t="shared" si="4"/>
        <v/>
      </c>
      <c r="H57" s="57">
        <f t="shared" si="5"/>
        <v>0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58"/>
      <c r="F58" s="58"/>
      <c r="G58" s="56" t="str">
        <f t="shared" si="4"/>
        <v/>
      </c>
      <c r="H58" s="57">
        <f t="shared" si="5"/>
        <v>0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58"/>
      <c r="F59" s="58"/>
      <c r="G59" s="56" t="str">
        <f t="shared" si="4"/>
        <v/>
      </c>
      <c r="H59" s="57">
        <f t="shared" si="5"/>
        <v>0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58"/>
      <c r="F60" s="58"/>
      <c r="G60" s="56" t="str">
        <f t="shared" si="4"/>
        <v/>
      </c>
      <c r="H60" s="57">
        <f t="shared" si="5"/>
        <v>0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58"/>
      <c r="F61" s="58"/>
      <c r="G61" s="56" t="str">
        <f t="shared" si="4"/>
        <v/>
      </c>
      <c r="H61" s="57">
        <f t="shared" si="5"/>
        <v>0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58"/>
      <c r="F62" s="58"/>
      <c r="G62" s="56" t="str">
        <f t="shared" si="4"/>
        <v/>
      </c>
      <c r="H62" s="57">
        <f t="shared" si="5"/>
        <v>0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58"/>
      <c r="F63" s="58"/>
      <c r="G63" s="56" t="str">
        <f t="shared" si="4"/>
        <v/>
      </c>
      <c r="H63" s="57">
        <f t="shared" si="5"/>
        <v>0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58"/>
      <c r="F64" s="58"/>
      <c r="G64" s="56" t="str">
        <f t="shared" si="4"/>
        <v/>
      </c>
      <c r="H64" s="57">
        <f t="shared" si="5"/>
        <v>0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58"/>
      <c r="F65" s="58"/>
      <c r="G65" s="56" t="str">
        <f t="shared" si="4"/>
        <v/>
      </c>
      <c r="H65" s="57">
        <f t="shared" si="5"/>
        <v>0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58"/>
      <c r="F66" s="58"/>
      <c r="G66" s="56" t="str">
        <f t="shared" si="4"/>
        <v/>
      </c>
      <c r="H66" s="57">
        <f t="shared" si="5"/>
        <v>0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58"/>
      <c r="F67" s="58"/>
      <c r="G67" s="56" t="str">
        <f t="shared" si="4"/>
        <v/>
      </c>
      <c r="H67" s="57">
        <f t="shared" si="5"/>
        <v>0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58"/>
      <c r="F68" s="58"/>
      <c r="G68" s="56" t="str">
        <f t="shared" si="4"/>
        <v/>
      </c>
      <c r="H68" s="57">
        <f t="shared" si="5"/>
        <v>0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58"/>
      <c r="F69" s="58"/>
      <c r="G69" s="56" t="str">
        <f t="shared" si="4"/>
        <v/>
      </c>
      <c r="H69" s="57">
        <f t="shared" si="5"/>
        <v>0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58"/>
      <c r="F70" s="58"/>
      <c r="G70" s="56" t="str">
        <f t="shared" si="4"/>
        <v/>
      </c>
      <c r="H70" s="57">
        <f t="shared" si="5"/>
        <v>0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58"/>
      <c r="F71" s="58"/>
      <c r="G71" s="56" t="str">
        <f t="shared" si="4"/>
        <v/>
      </c>
      <c r="H71" s="57">
        <f t="shared" si="5"/>
        <v>0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58"/>
      <c r="F72" s="58"/>
      <c r="G72" s="56" t="str">
        <f t="shared" si="4"/>
        <v/>
      </c>
      <c r="H72" s="57">
        <f t="shared" si="5"/>
        <v>0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58"/>
      <c r="F73" s="58"/>
      <c r="G73" s="56" t="str">
        <f t="shared" si="4"/>
        <v/>
      </c>
      <c r="H73" s="57">
        <f t="shared" si="5"/>
        <v>0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58"/>
      <c r="F74" s="58"/>
      <c r="G74" s="56" t="str">
        <f t="shared" si="4"/>
        <v/>
      </c>
      <c r="H74" s="57">
        <f t="shared" si="5"/>
        <v>0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58"/>
      <c r="F75" s="58"/>
      <c r="G75" s="56" t="str">
        <f t="shared" si="4"/>
        <v/>
      </c>
      <c r="H75" s="57">
        <f t="shared" si="5"/>
        <v>0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58"/>
      <c r="F76" s="58"/>
      <c r="G76" s="56" t="str">
        <f t="shared" si="4"/>
        <v/>
      </c>
      <c r="H76" s="57">
        <f t="shared" si="5"/>
        <v>0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58"/>
      <c r="F77" s="58"/>
      <c r="G77" s="56" t="str">
        <f t="shared" si="4"/>
        <v/>
      </c>
      <c r="H77" s="57">
        <f t="shared" si="5"/>
        <v>0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58"/>
      <c r="F78" s="58"/>
      <c r="G78" s="56" t="str">
        <f t="shared" si="4"/>
        <v/>
      </c>
      <c r="H78" s="57">
        <f t="shared" si="5"/>
        <v>0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58"/>
      <c r="F79" s="58"/>
      <c r="G79" s="56" t="str">
        <f t="shared" si="4"/>
        <v/>
      </c>
      <c r="H79" s="57">
        <f t="shared" si="5"/>
        <v>0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58"/>
      <c r="F80" s="58"/>
      <c r="G80" s="56" t="str">
        <f t="shared" si="4"/>
        <v/>
      </c>
      <c r="H80" s="57">
        <f t="shared" si="5"/>
        <v>0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58"/>
      <c r="F81" s="58"/>
      <c r="G81" s="56" t="str">
        <f t="shared" si="4"/>
        <v/>
      </c>
      <c r="H81" s="57">
        <f t="shared" si="5"/>
        <v>0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58"/>
      <c r="F82" s="58"/>
      <c r="G82" s="56" t="str">
        <f t="shared" si="4"/>
        <v/>
      </c>
      <c r="H82" s="57">
        <f t="shared" si="5"/>
        <v>0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118" priority="2">
      <formula>AND(ISNUMBER(I23),I23&gt;=0.95)</formula>
    </cfRule>
    <cfRule type="expression" dxfId="117" priority="3">
      <formula>AND(ISNUMBER(I23),I23&gt;=0.8,I23&lt;0.95)</formula>
    </cfRule>
    <cfRule type="expression" dxfId="116" priority="4">
      <formula>AND(ISNUMBER(I23),I23&lt;0.8)</formula>
    </cfRule>
  </conditionalFormatting>
  <conditionalFormatting sqref="J23:J82">
    <cfRule type="expression" dxfId="115" priority="5">
      <formula>J23="Cumple"</formula>
    </cfRule>
    <cfRule type="expression" dxfId="114" priority="6">
      <formula>J23="En riesgo"</formula>
    </cfRule>
    <cfRule type="expression" dxfId="113" priority="7">
      <formula>J23="Crítico"</formula>
    </cfRule>
    <cfRule type="expression" dxfId="112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6FB2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97" t="s">
        <v>260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94" t="s">
        <v>261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161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162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163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160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VLOOKUP("IND-10",Parámetros!$B$6:$F$30,5,FALSE())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100">
        <v>1.2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100">
        <v>1.2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100">
        <v>1.2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100">
        <v>1.2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100">
        <v>1.2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262</v>
      </c>
      <c r="F22" s="21" t="s">
        <v>263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55"/>
      <c r="F23" s="55"/>
      <c r="G23" s="63" t="str">
        <f t="shared" ref="G23:G54" si="0">IFERROR(IF(F23=0,"",E23/F23),"")</f>
        <v/>
      </c>
      <c r="H23" s="64">
        <f t="shared" ref="H23:H54" si="1">IFERROR(VLOOKUP(C23,$B$14:$C$18,2,FALSE()),"")</f>
        <v>1.2</v>
      </c>
      <c r="I23" s="56" t="str">
        <f t="shared" ref="I23:I54" si="2">IFERROR(IF(OR(G23="",NOT(ISNUMBER(H23))),"",1-ABS(G23-H23)/MAX(ABS(H23),1)),"")</f>
        <v/>
      </c>
      <c r="J23" s="32" t="str">
        <f t="shared" ref="J23:J54" si="3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55"/>
      <c r="F24" s="55"/>
      <c r="G24" s="63" t="str">
        <f t="shared" si="0"/>
        <v/>
      </c>
      <c r="H24" s="64">
        <f t="shared" si="1"/>
        <v>1.2</v>
      </c>
      <c r="I24" s="56" t="str">
        <f t="shared" si="2"/>
        <v/>
      </c>
      <c r="J24" s="32" t="str">
        <f t="shared" si="3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55"/>
      <c r="F25" s="55"/>
      <c r="G25" s="63" t="str">
        <f t="shared" si="0"/>
        <v/>
      </c>
      <c r="H25" s="64">
        <f t="shared" si="1"/>
        <v>1.2</v>
      </c>
      <c r="I25" s="56" t="str">
        <f t="shared" si="2"/>
        <v/>
      </c>
      <c r="J25" s="32" t="str">
        <f t="shared" si="3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55"/>
      <c r="F26" s="55"/>
      <c r="G26" s="63" t="str">
        <f t="shared" si="0"/>
        <v/>
      </c>
      <c r="H26" s="64">
        <f t="shared" si="1"/>
        <v>1.2</v>
      </c>
      <c r="I26" s="56" t="str">
        <f t="shared" si="2"/>
        <v/>
      </c>
      <c r="J26" s="32" t="str">
        <f t="shared" si="3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55"/>
      <c r="F27" s="55"/>
      <c r="G27" s="63" t="str">
        <f t="shared" si="0"/>
        <v/>
      </c>
      <c r="H27" s="64">
        <f t="shared" si="1"/>
        <v>1.2</v>
      </c>
      <c r="I27" s="56" t="str">
        <f t="shared" si="2"/>
        <v/>
      </c>
      <c r="J27" s="32" t="str">
        <f t="shared" si="3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55"/>
      <c r="F28" s="55"/>
      <c r="G28" s="63" t="str">
        <f t="shared" si="0"/>
        <v/>
      </c>
      <c r="H28" s="64">
        <f t="shared" si="1"/>
        <v>1.2</v>
      </c>
      <c r="I28" s="56" t="str">
        <f t="shared" si="2"/>
        <v/>
      </c>
      <c r="J28" s="32" t="str">
        <f t="shared" si="3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55"/>
      <c r="F29" s="55"/>
      <c r="G29" s="63" t="str">
        <f t="shared" si="0"/>
        <v/>
      </c>
      <c r="H29" s="64">
        <f t="shared" si="1"/>
        <v>1.2</v>
      </c>
      <c r="I29" s="56" t="str">
        <f t="shared" si="2"/>
        <v/>
      </c>
      <c r="J29" s="32" t="str">
        <f t="shared" si="3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55"/>
      <c r="F30" s="55"/>
      <c r="G30" s="63" t="str">
        <f t="shared" si="0"/>
        <v/>
      </c>
      <c r="H30" s="64">
        <f t="shared" si="1"/>
        <v>1.2</v>
      </c>
      <c r="I30" s="56" t="str">
        <f t="shared" si="2"/>
        <v/>
      </c>
      <c r="J30" s="32" t="str">
        <f t="shared" si="3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55"/>
      <c r="F31" s="55"/>
      <c r="G31" s="63" t="str">
        <f t="shared" si="0"/>
        <v/>
      </c>
      <c r="H31" s="64">
        <f t="shared" si="1"/>
        <v>1.2</v>
      </c>
      <c r="I31" s="56" t="str">
        <f t="shared" si="2"/>
        <v/>
      </c>
      <c r="J31" s="32" t="str">
        <f t="shared" si="3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55"/>
      <c r="F32" s="55"/>
      <c r="G32" s="63" t="str">
        <f t="shared" si="0"/>
        <v/>
      </c>
      <c r="H32" s="64">
        <f t="shared" si="1"/>
        <v>1.2</v>
      </c>
      <c r="I32" s="56" t="str">
        <f t="shared" si="2"/>
        <v/>
      </c>
      <c r="J32" s="32" t="str">
        <f t="shared" si="3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55"/>
      <c r="F33" s="55"/>
      <c r="G33" s="63" t="str">
        <f t="shared" si="0"/>
        <v/>
      </c>
      <c r="H33" s="64">
        <f t="shared" si="1"/>
        <v>1.2</v>
      </c>
      <c r="I33" s="56" t="str">
        <f t="shared" si="2"/>
        <v/>
      </c>
      <c r="J33" s="32" t="str">
        <f t="shared" si="3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55"/>
      <c r="F34" s="55"/>
      <c r="G34" s="63" t="str">
        <f t="shared" si="0"/>
        <v/>
      </c>
      <c r="H34" s="64">
        <f t="shared" si="1"/>
        <v>1.2</v>
      </c>
      <c r="I34" s="56" t="str">
        <f t="shared" si="2"/>
        <v/>
      </c>
      <c r="J34" s="32" t="str">
        <f t="shared" si="3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55"/>
      <c r="F35" s="55"/>
      <c r="G35" s="63" t="str">
        <f t="shared" si="0"/>
        <v/>
      </c>
      <c r="H35" s="64">
        <f t="shared" si="1"/>
        <v>1.2</v>
      </c>
      <c r="I35" s="56" t="str">
        <f t="shared" si="2"/>
        <v/>
      </c>
      <c r="J35" s="32" t="str">
        <f t="shared" si="3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55"/>
      <c r="F36" s="55"/>
      <c r="G36" s="63" t="str">
        <f t="shared" si="0"/>
        <v/>
      </c>
      <c r="H36" s="64">
        <f t="shared" si="1"/>
        <v>1.2</v>
      </c>
      <c r="I36" s="56" t="str">
        <f t="shared" si="2"/>
        <v/>
      </c>
      <c r="J36" s="32" t="str">
        <f t="shared" si="3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55"/>
      <c r="F37" s="55"/>
      <c r="G37" s="63" t="str">
        <f t="shared" si="0"/>
        <v/>
      </c>
      <c r="H37" s="64">
        <f t="shared" si="1"/>
        <v>1.2</v>
      </c>
      <c r="I37" s="56" t="str">
        <f t="shared" si="2"/>
        <v/>
      </c>
      <c r="J37" s="32" t="str">
        <f t="shared" si="3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55"/>
      <c r="F38" s="55"/>
      <c r="G38" s="63" t="str">
        <f t="shared" si="0"/>
        <v/>
      </c>
      <c r="H38" s="64">
        <f t="shared" si="1"/>
        <v>1.2</v>
      </c>
      <c r="I38" s="56" t="str">
        <f t="shared" si="2"/>
        <v/>
      </c>
      <c r="J38" s="3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55"/>
      <c r="F39" s="55"/>
      <c r="G39" s="63" t="str">
        <f t="shared" si="0"/>
        <v/>
      </c>
      <c r="H39" s="64">
        <f t="shared" si="1"/>
        <v>1.2</v>
      </c>
      <c r="I39" s="56" t="str">
        <f t="shared" si="2"/>
        <v/>
      </c>
      <c r="J39" s="3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55"/>
      <c r="F40" s="55"/>
      <c r="G40" s="63" t="str">
        <f t="shared" si="0"/>
        <v/>
      </c>
      <c r="H40" s="64">
        <f t="shared" si="1"/>
        <v>1.2</v>
      </c>
      <c r="I40" s="56" t="str">
        <f t="shared" si="2"/>
        <v/>
      </c>
      <c r="J40" s="3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55"/>
      <c r="F41" s="55"/>
      <c r="G41" s="63" t="str">
        <f t="shared" si="0"/>
        <v/>
      </c>
      <c r="H41" s="64">
        <f t="shared" si="1"/>
        <v>1.2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55"/>
      <c r="F42" s="55"/>
      <c r="G42" s="63" t="str">
        <f t="shared" si="0"/>
        <v/>
      </c>
      <c r="H42" s="64">
        <f t="shared" si="1"/>
        <v>1.2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55"/>
      <c r="F43" s="55"/>
      <c r="G43" s="63" t="str">
        <f t="shared" si="0"/>
        <v/>
      </c>
      <c r="H43" s="64">
        <f t="shared" si="1"/>
        <v>1.2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55"/>
      <c r="F44" s="55"/>
      <c r="G44" s="63" t="str">
        <f t="shared" si="0"/>
        <v/>
      </c>
      <c r="H44" s="64">
        <f t="shared" si="1"/>
        <v>1.2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55"/>
      <c r="F45" s="55"/>
      <c r="G45" s="63" t="str">
        <f t="shared" si="0"/>
        <v/>
      </c>
      <c r="H45" s="64">
        <f t="shared" si="1"/>
        <v>1.2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55"/>
      <c r="F46" s="55"/>
      <c r="G46" s="63" t="str">
        <f t="shared" si="0"/>
        <v/>
      </c>
      <c r="H46" s="64">
        <f t="shared" si="1"/>
        <v>1.2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55"/>
      <c r="F47" s="55"/>
      <c r="G47" s="63" t="str">
        <f t="shared" si="0"/>
        <v/>
      </c>
      <c r="H47" s="64">
        <f t="shared" si="1"/>
        <v>1.2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55"/>
      <c r="F48" s="55"/>
      <c r="G48" s="63" t="str">
        <f t="shared" si="0"/>
        <v/>
      </c>
      <c r="H48" s="64">
        <f t="shared" si="1"/>
        <v>1.2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55"/>
      <c r="F49" s="55"/>
      <c r="G49" s="63" t="str">
        <f t="shared" si="0"/>
        <v/>
      </c>
      <c r="H49" s="64">
        <f t="shared" si="1"/>
        <v>1.2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55"/>
      <c r="F50" s="55"/>
      <c r="G50" s="63" t="str">
        <f t="shared" si="0"/>
        <v/>
      </c>
      <c r="H50" s="64">
        <f t="shared" si="1"/>
        <v>1.2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55"/>
      <c r="F51" s="55"/>
      <c r="G51" s="63" t="str">
        <f t="shared" si="0"/>
        <v/>
      </c>
      <c r="H51" s="64">
        <f t="shared" si="1"/>
        <v>1.2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55"/>
      <c r="F52" s="55"/>
      <c r="G52" s="63" t="str">
        <f t="shared" si="0"/>
        <v/>
      </c>
      <c r="H52" s="64">
        <f t="shared" si="1"/>
        <v>1.2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55"/>
      <c r="F53" s="55"/>
      <c r="G53" s="63" t="str">
        <f t="shared" si="0"/>
        <v/>
      </c>
      <c r="H53" s="64">
        <f t="shared" si="1"/>
        <v>1.2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55"/>
      <c r="F54" s="55"/>
      <c r="G54" s="63" t="str">
        <f t="shared" si="0"/>
        <v/>
      </c>
      <c r="H54" s="64">
        <f t="shared" si="1"/>
        <v>1.2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55"/>
      <c r="F55" s="55"/>
      <c r="G55" s="63" t="str">
        <f t="shared" ref="G55:G86" si="4">IFERROR(IF(F55=0,"",E55/F55),"")</f>
        <v/>
      </c>
      <c r="H55" s="64">
        <f t="shared" ref="H55:H82" si="5">IFERROR(VLOOKUP(C55,$B$14:$C$18,2,FALSE()),"")</f>
        <v>1.2</v>
      </c>
      <c r="I55" s="56" t="str">
        <f t="shared" ref="I55:I86" si="6">IFERROR(IF(OR(G55="",NOT(ISNUMBER(H55))),"",1-ABS(G55-H55)/MAX(ABS(H55),1)),"")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55"/>
      <c r="F56" s="55"/>
      <c r="G56" s="63" t="str">
        <f t="shared" si="4"/>
        <v/>
      </c>
      <c r="H56" s="64">
        <f t="shared" si="5"/>
        <v>1.2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55"/>
      <c r="F57" s="55"/>
      <c r="G57" s="63" t="str">
        <f t="shared" si="4"/>
        <v/>
      </c>
      <c r="H57" s="64">
        <f t="shared" si="5"/>
        <v>1.2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55"/>
      <c r="F58" s="55"/>
      <c r="G58" s="63" t="str">
        <f t="shared" si="4"/>
        <v/>
      </c>
      <c r="H58" s="64">
        <f t="shared" si="5"/>
        <v>1.2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55"/>
      <c r="F59" s="55"/>
      <c r="G59" s="63" t="str">
        <f t="shared" si="4"/>
        <v/>
      </c>
      <c r="H59" s="64">
        <f t="shared" si="5"/>
        <v>1.2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55"/>
      <c r="F60" s="55"/>
      <c r="G60" s="63" t="str">
        <f t="shared" si="4"/>
        <v/>
      </c>
      <c r="H60" s="64">
        <f t="shared" si="5"/>
        <v>1.2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55"/>
      <c r="F61" s="55"/>
      <c r="G61" s="63" t="str">
        <f t="shared" si="4"/>
        <v/>
      </c>
      <c r="H61" s="64">
        <f t="shared" si="5"/>
        <v>1.2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55"/>
      <c r="F62" s="55"/>
      <c r="G62" s="63" t="str">
        <f t="shared" si="4"/>
        <v/>
      </c>
      <c r="H62" s="64">
        <f t="shared" si="5"/>
        <v>1.2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55"/>
      <c r="F63" s="55"/>
      <c r="G63" s="63" t="str">
        <f t="shared" si="4"/>
        <v/>
      </c>
      <c r="H63" s="64">
        <f t="shared" si="5"/>
        <v>1.2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55"/>
      <c r="F64" s="55"/>
      <c r="G64" s="63" t="str">
        <f t="shared" si="4"/>
        <v/>
      </c>
      <c r="H64" s="64">
        <f t="shared" si="5"/>
        <v>1.2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55"/>
      <c r="F65" s="55"/>
      <c r="G65" s="63" t="str">
        <f t="shared" si="4"/>
        <v/>
      </c>
      <c r="H65" s="64">
        <f t="shared" si="5"/>
        <v>1.2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55"/>
      <c r="F66" s="55"/>
      <c r="G66" s="63" t="str">
        <f t="shared" si="4"/>
        <v/>
      </c>
      <c r="H66" s="64">
        <f t="shared" si="5"/>
        <v>1.2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55"/>
      <c r="F67" s="55"/>
      <c r="G67" s="63" t="str">
        <f t="shared" si="4"/>
        <v/>
      </c>
      <c r="H67" s="64">
        <f t="shared" si="5"/>
        <v>1.2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55"/>
      <c r="F68" s="55"/>
      <c r="G68" s="63" t="str">
        <f t="shared" si="4"/>
        <v/>
      </c>
      <c r="H68" s="64">
        <f t="shared" si="5"/>
        <v>1.2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55"/>
      <c r="F69" s="55"/>
      <c r="G69" s="63" t="str">
        <f t="shared" si="4"/>
        <v/>
      </c>
      <c r="H69" s="64">
        <f t="shared" si="5"/>
        <v>1.2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55"/>
      <c r="F70" s="55"/>
      <c r="G70" s="63" t="str">
        <f t="shared" si="4"/>
        <v/>
      </c>
      <c r="H70" s="64">
        <f t="shared" si="5"/>
        <v>1.2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55"/>
      <c r="F71" s="55"/>
      <c r="G71" s="63" t="str">
        <f t="shared" si="4"/>
        <v/>
      </c>
      <c r="H71" s="64">
        <f t="shared" si="5"/>
        <v>1.2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55"/>
      <c r="F72" s="55"/>
      <c r="G72" s="63" t="str">
        <f t="shared" si="4"/>
        <v/>
      </c>
      <c r="H72" s="64">
        <f t="shared" si="5"/>
        <v>1.2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55"/>
      <c r="F73" s="55"/>
      <c r="G73" s="63" t="str">
        <f t="shared" si="4"/>
        <v/>
      </c>
      <c r="H73" s="64">
        <f t="shared" si="5"/>
        <v>1.2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55"/>
      <c r="F74" s="55"/>
      <c r="G74" s="63" t="str">
        <f t="shared" si="4"/>
        <v/>
      </c>
      <c r="H74" s="64">
        <f t="shared" si="5"/>
        <v>1.2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55"/>
      <c r="F75" s="55"/>
      <c r="G75" s="63" t="str">
        <f t="shared" si="4"/>
        <v/>
      </c>
      <c r="H75" s="64">
        <f t="shared" si="5"/>
        <v>1.2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55"/>
      <c r="F76" s="55"/>
      <c r="G76" s="63" t="str">
        <f t="shared" si="4"/>
        <v/>
      </c>
      <c r="H76" s="64">
        <f t="shared" si="5"/>
        <v>1.2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55"/>
      <c r="F77" s="55"/>
      <c r="G77" s="63" t="str">
        <f t="shared" si="4"/>
        <v/>
      </c>
      <c r="H77" s="64">
        <f t="shared" si="5"/>
        <v>1.2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55"/>
      <c r="F78" s="55"/>
      <c r="G78" s="63" t="str">
        <f t="shared" si="4"/>
        <v/>
      </c>
      <c r="H78" s="64">
        <f t="shared" si="5"/>
        <v>1.2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55"/>
      <c r="F79" s="55"/>
      <c r="G79" s="63" t="str">
        <f t="shared" si="4"/>
        <v/>
      </c>
      <c r="H79" s="64">
        <f t="shared" si="5"/>
        <v>1.2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55"/>
      <c r="F80" s="55"/>
      <c r="G80" s="63" t="str">
        <f t="shared" si="4"/>
        <v/>
      </c>
      <c r="H80" s="64">
        <f t="shared" si="5"/>
        <v>1.2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55"/>
      <c r="F81" s="55"/>
      <c r="G81" s="63" t="str">
        <f t="shared" si="4"/>
        <v/>
      </c>
      <c r="H81" s="64">
        <f t="shared" si="5"/>
        <v>1.2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55"/>
      <c r="F82" s="55"/>
      <c r="G82" s="63" t="str">
        <f t="shared" si="4"/>
        <v/>
      </c>
      <c r="H82" s="64">
        <f t="shared" si="5"/>
        <v>1.2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111" priority="2">
      <formula>AND(ISNUMBER(I23),I23&gt;=0.95)</formula>
    </cfRule>
    <cfRule type="expression" dxfId="110" priority="3">
      <formula>AND(ISNUMBER(I23),I23&gt;=0.8,I23&lt;0.95)</formula>
    </cfRule>
    <cfRule type="expression" dxfId="109" priority="4">
      <formula>AND(ISNUMBER(I23),I23&lt;0.8)</formula>
    </cfRule>
  </conditionalFormatting>
  <conditionalFormatting sqref="J23:J82">
    <cfRule type="expression" dxfId="108" priority="5">
      <formula>J23="Cumple"</formula>
    </cfRule>
    <cfRule type="expression" dxfId="107" priority="6">
      <formula>J23="En riesgo"</formula>
    </cfRule>
    <cfRule type="expression" dxfId="106" priority="7">
      <formula>J23="Crítico"</formula>
    </cfRule>
    <cfRule type="expression" dxfId="105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6FB2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97" t="s">
        <v>264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94" t="s">
        <v>261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164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165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160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VLOOKUP("IND-11",Parámetros!$B$6:$F$30,5,FALSE())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0.95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0.95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0.95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0.95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0.95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265</v>
      </c>
      <c r="F22" s="21" t="s">
        <v>266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55"/>
      <c r="F23" s="55"/>
      <c r="G23" s="56" t="str">
        <f t="shared" ref="G23:G54" si="0">IFERROR(IF(F23=0,"",E23/F23),"")</f>
        <v/>
      </c>
      <c r="H23" s="57">
        <f t="shared" ref="H23:H54" si="1">IFERROR(VLOOKUP(C23,$B$14:$C$18,2,FALSE()),"")</f>
        <v>0.95</v>
      </c>
      <c r="I23" s="56" t="str">
        <f t="shared" ref="I23:I54" si="2">IFERROR(IF(OR(G23="",NOT(ISNUMBER(H23))),"",1-ABS(G23-H23)/MAX(ABS(H23),1)),"")</f>
        <v/>
      </c>
      <c r="J23" s="32" t="str">
        <f t="shared" ref="J23:J54" si="3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55"/>
      <c r="F24" s="55"/>
      <c r="G24" s="56" t="str">
        <f t="shared" si="0"/>
        <v/>
      </c>
      <c r="H24" s="57">
        <f t="shared" si="1"/>
        <v>0.95</v>
      </c>
      <c r="I24" s="56" t="str">
        <f t="shared" si="2"/>
        <v/>
      </c>
      <c r="J24" s="32" t="str">
        <f t="shared" si="3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55"/>
      <c r="F25" s="55"/>
      <c r="G25" s="56" t="str">
        <f t="shared" si="0"/>
        <v/>
      </c>
      <c r="H25" s="57">
        <f t="shared" si="1"/>
        <v>0.95</v>
      </c>
      <c r="I25" s="56" t="str">
        <f t="shared" si="2"/>
        <v/>
      </c>
      <c r="J25" s="32" t="str">
        <f t="shared" si="3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55"/>
      <c r="F26" s="55"/>
      <c r="G26" s="56" t="str">
        <f t="shared" si="0"/>
        <v/>
      </c>
      <c r="H26" s="57">
        <f t="shared" si="1"/>
        <v>0.95</v>
      </c>
      <c r="I26" s="56" t="str">
        <f t="shared" si="2"/>
        <v/>
      </c>
      <c r="J26" s="32" t="str">
        <f t="shared" si="3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55"/>
      <c r="F27" s="55"/>
      <c r="G27" s="56" t="str">
        <f t="shared" si="0"/>
        <v/>
      </c>
      <c r="H27" s="57">
        <f t="shared" si="1"/>
        <v>0.95</v>
      </c>
      <c r="I27" s="56" t="str">
        <f t="shared" si="2"/>
        <v/>
      </c>
      <c r="J27" s="32" t="str">
        <f t="shared" si="3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55"/>
      <c r="F28" s="55"/>
      <c r="G28" s="56" t="str">
        <f t="shared" si="0"/>
        <v/>
      </c>
      <c r="H28" s="57">
        <f t="shared" si="1"/>
        <v>0.95</v>
      </c>
      <c r="I28" s="56" t="str">
        <f t="shared" si="2"/>
        <v/>
      </c>
      <c r="J28" s="32" t="str">
        <f t="shared" si="3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55"/>
      <c r="F29" s="55"/>
      <c r="G29" s="56" t="str">
        <f t="shared" si="0"/>
        <v/>
      </c>
      <c r="H29" s="57">
        <f t="shared" si="1"/>
        <v>0.95</v>
      </c>
      <c r="I29" s="56" t="str">
        <f t="shared" si="2"/>
        <v/>
      </c>
      <c r="J29" s="32" t="str">
        <f t="shared" si="3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55"/>
      <c r="F30" s="55"/>
      <c r="G30" s="56" t="str">
        <f t="shared" si="0"/>
        <v/>
      </c>
      <c r="H30" s="57">
        <f t="shared" si="1"/>
        <v>0.95</v>
      </c>
      <c r="I30" s="56" t="str">
        <f t="shared" si="2"/>
        <v/>
      </c>
      <c r="J30" s="32" t="str">
        <f t="shared" si="3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55"/>
      <c r="F31" s="55"/>
      <c r="G31" s="56" t="str">
        <f t="shared" si="0"/>
        <v/>
      </c>
      <c r="H31" s="57">
        <f t="shared" si="1"/>
        <v>0.95</v>
      </c>
      <c r="I31" s="56" t="str">
        <f t="shared" si="2"/>
        <v/>
      </c>
      <c r="J31" s="32" t="str">
        <f t="shared" si="3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55"/>
      <c r="F32" s="55"/>
      <c r="G32" s="56" t="str">
        <f t="shared" si="0"/>
        <v/>
      </c>
      <c r="H32" s="57">
        <f t="shared" si="1"/>
        <v>0.95</v>
      </c>
      <c r="I32" s="56" t="str">
        <f t="shared" si="2"/>
        <v/>
      </c>
      <c r="J32" s="32" t="str">
        <f t="shared" si="3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55"/>
      <c r="F33" s="55"/>
      <c r="G33" s="56" t="str">
        <f t="shared" si="0"/>
        <v/>
      </c>
      <c r="H33" s="57">
        <f t="shared" si="1"/>
        <v>0.95</v>
      </c>
      <c r="I33" s="56" t="str">
        <f t="shared" si="2"/>
        <v/>
      </c>
      <c r="J33" s="32" t="str">
        <f t="shared" si="3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55"/>
      <c r="F34" s="55"/>
      <c r="G34" s="56" t="str">
        <f t="shared" si="0"/>
        <v/>
      </c>
      <c r="H34" s="57">
        <f t="shared" si="1"/>
        <v>0.95</v>
      </c>
      <c r="I34" s="56" t="str">
        <f t="shared" si="2"/>
        <v/>
      </c>
      <c r="J34" s="32" t="str">
        <f t="shared" si="3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55"/>
      <c r="F35" s="55"/>
      <c r="G35" s="56" t="str">
        <f t="shared" si="0"/>
        <v/>
      </c>
      <c r="H35" s="57">
        <f t="shared" si="1"/>
        <v>0.95</v>
      </c>
      <c r="I35" s="56" t="str">
        <f t="shared" si="2"/>
        <v/>
      </c>
      <c r="J35" s="32" t="str">
        <f t="shared" si="3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55"/>
      <c r="F36" s="55"/>
      <c r="G36" s="56" t="str">
        <f t="shared" si="0"/>
        <v/>
      </c>
      <c r="H36" s="57">
        <f t="shared" si="1"/>
        <v>0.95</v>
      </c>
      <c r="I36" s="56" t="str">
        <f t="shared" si="2"/>
        <v/>
      </c>
      <c r="J36" s="32" t="str">
        <f t="shared" si="3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55"/>
      <c r="F37" s="55"/>
      <c r="G37" s="56" t="str">
        <f t="shared" si="0"/>
        <v/>
      </c>
      <c r="H37" s="57">
        <f t="shared" si="1"/>
        <v>0.95</v>
      </c>
      <c r="I37" s="56" t="str">
        <f t="shared" si="2"/>
        <v/>
      </c>
      <c r="J37" s="32" t="str">
        <f t="shared" si="3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55"/>
      <c r="F38" s="55"/>
      <c r="G38" s="56" t="str">
        <f t="shared" si="0"/>
        <v/>
      </c>
      <c r="H38" s="57">
        <f t="shared" si="1"/>
        <v>0.95</v>
      </c>
      <c r="I38" s="56" t="str">
        <f t="shared" si="2"/>
        <v/>
      </c>
      <c r="J38" s="3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55"/>
      <c r="F39" s="55"/>
      <c r="G39" s="56" t="str">
        <f t="shared" si="0"/>
        <v/>
      </c>
      <c r="H39" s="57">
        <f t="shared" si="1"/>
        <v>0.95</v>
      </c>
      <c r="I39" s="56" t="str">
        <f t="shared" si="2"/>
        <v/>
      </c>
      <c r="J39" s="3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55"/>
      <c r="F40" s="55"/>
      <c r="G40" s="56" t="str">
        <f t="shared" si="0"/>
        <v/>
      </c>
      <c r="H40" s="57">
        <f t="shared" si="1"/>
        <v>0.95</v>
      </c>
      <c r="I40" s="56" t="str">
        <f t="shared" si="2"/>
        <v/>
      </c>
      <c r="J40" s="3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55"/>
      <c r="F41" s="55"/>
      <c r="G41" s="56" t="str">
        <f t="shared" si="0"/>
        <v/>
      </c>
      <c r="H41" s="57">
        <f t="shared" si="1"/>
        <v>0.95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55"/>
      <c r="F42" s="55"/>
      <c r="G42" s="56" t="str">
        <f t="shared" si="0"/>
        <v/>
      </c>
      <c r="H42" s="57">
        <f t="shared" si="1"/>
        <v>0.95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55"/>
      <c r="F43" s="55"/>
      <c r="G43" s="56" t="str">
        <f t="shared" si="0"/>
        <v/>
      </c>
      <c r="H43" s="57">
        <f t="shared" si="1"/>
        <v>0.95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55"/>
      <c r="F44" s="55"/>
      <c r="G44" s="56" t="str">
        <f t="shared" si="0"/>
        <v/>
      </c>
      <c r="H44" s="57">
        <f t="shared" si="1"/>
        <v>0.95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55"/>
      <c r="F45" s="55"/>
      <c r="G45" s="56" t="str">
        <f t="shared" si="0"/>
        <v/>
      </c>
      <c r="H45" s="57">
        <f t="shared" si="1"/>
        <v>0.95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55"/>
      <c r="F46" s="55"/>
      <c r="G46" s="56" t="str">
        <f t="shared" si="0"/>
        <v/>
      </c>
      <c r="H46" s="57">
        <f t="shared" si="1"/>
        <v>0.95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55"/>
      <c r="F47" s="55"/>
      <c r="G47" s="56" t="str">
        <f t="shared" si="0"/>
        <v/>
      </c>
      <c r="H47" s="57">
        <f t="shared" si="1"/>
        <v>0.95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55"/>
      <c r="F48" s="55"/>
      <c r="G48" s="56" t="str">
        <f t="shared" si="0"/>
        <v/>
      </c>
      <c r="H48" s="57">
        <f t="shared" si="1"/>
        <v>0.95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55"/>
      <c r="F49" s="55"/>
      <c r="G49" s="56" t="str">
        <f t="shared" si="0"/>
        <v/>
      </c>
      <c r="H49" s="57">
        <f t="shared" si="1"/>
        <v>0.95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55"/>
      <c r="F50" s="55"/>
      <c r="G50" s="56" t="str">
        <f t="shared" si="0"/>
        <v/>
      </c>
      <c r="H50" s="57">
        <f t="shared" si="1"/>
        <v>0.95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55"/>
      <c r="F51" s="55"/>
      <c r="G51" s="56" t="str">
        <f t="shared" si="0"/>
        <v/>
      </c>
      <c r="H51" s="57">
        <f t="shared" si="1"/>
        <v>0.95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55"/>
      <c r="F52" s="55"/>
      <c r="G52" s="56" t="str">
        <f t="shared" si="0"/>
        <v/>
      </c>
      <c r="H52" s="57">
        <f t="shared" si="1"/>
        <v>0.95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55"/>
      <c r="F53" s="55"/>
      <c r="G53" s="56" t="str">
        <f t="shared" si="0"/>
        <v/>
      </c>
      <c r="H53" s="57">
        <f t="shared" si="1"/>
        <v>0.95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55"/>
      <c r="F54" s="55"/>
      <c r="G54" s="56" t="str">
        <f t="shared" si="0"/>
        <v/>
      </c>
      <c r="H54" s="57">
        <f t="shared" si="1"/>
        <v>0.95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55"/>
      <c r="F55" s="55"/>
      <c r="G55" s="56" t="str">
        <f t="shared" ref="G55:G86" si="4">IFERROR(IF(F55=0,"",E55/F55),"")</f>
        <v/>
      </c>
      <c r="H55" s="57">
        <f t="shared" ref="H55:H82" si="5">IFERROR(VLOOKUP(C55,$B$14:$C$18,2,FALSE()),"")</f>
        <v>0.95</v>
      </c>
      <c r="I55" s="56" t="str">
        <f t="shared" ref="I55:I86" si="6">IFERROR(IF(OR(G55="",NOT(ISNUMBER(H55))),"",1-ABS(G55-H55)/MAX(ABS(H55),1)),"")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55"/>
      <c r="F56" s="55"/>
      <c r="G56" s="56" t="str">
        <f t="shared" si="4"/>
        <v/>
      </c>
      <c r="H56" s="57">
        <f t="shared" si="5"/>
        <v>0.95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55"/>
      <c r="F57" s="55"/>
      <c r="G57" s="56" t="str">
        <f t="shared" si="4"/>
        <v/>
      </c>
      <c r="H57" s="57">
        <f t="shared" si="5"/>
        <v>0.95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55"/>
      <c r="F58" s="55"/>
      <c r="G58" s="56" t="str">
        <f t="shared" si="4"/>
        <v/>
      </c>
      <c r="H58" s="57">
        <f t="shared" si="5"/>
        <v>0.95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55"/>
      <c r="F59" s="55"/>
      <c r="G59" s="56" t="str">
        <f t="shared" si="4"/>
        <v/>
      </c>
      <c r="H59" s="57">
        <f t="shared" si="5"/>
        <v>0.95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55"/>
      <c r="F60" s="55"/>
      <c r="G60" s="56" t="str">
        <f t="shared" si="4"/>
        <v/>
      </c>
      <c r="H60" s="57">
        <f t="shared" si="5"/>
        <v>0.95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55"/>
      <c r="F61" s="55"/>
      <c r="G61" s="56" t="str">
        <f t="shared" si="4"/>
        <v/>
      </c>
      <c r="H61" s="57">
        <f t="shared" si="5"/>
        <v>0.95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55"/>
      <c r="F62" s="55"/>
      <c r="G62" s="56" t="str">
        <f t="shared" si="4"/>
        <v/>
      </c>
      <c r="H62" s="57">
        <f t="shared" si="5"/>
        <v>0.95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55"/>
      <c r="F63" s="55"/>
      <c r="G63" s="56" t="str">
        <f t="shared" si="4"/>
        <v/>
      </c>
      <c r="H63" s="57">
        <f t="shared" si="5"/>
        <v>0.95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55"/>
      <c r="F64" s="55"/>
      <c r="G64" s="56" t="str">
        <f t="shared" si="4"/>
        <v/>
      </c>
      <c r="H64" s="57">
        <f t="shared" si="5"/>
        <v>0.95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55"/>
      <c r="F65" s="55"/>
      <c r="G65" s="56" t="str">
        <f t="shared" si="4"/>
        <v/>
      </c>
      <c r="H65" s="57">
        <f t="shared" si="5"/>
        <v>0.95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55"/>
      <c r="F66" s="55"/>
      <c r="G66" s="56" t="str">
        <f t="shared" si="4"/>
        <v/>
      </c>
      <c r="H66" s="57">
        <f t="shared" si="5"/>
        <v>0.95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55"/>
      <c r="F67" s="55"/>
      <c r="G67" s="56" t="str">
        <f t="shared" si="4"/>
        <v/>
      </c>
      <c r="H67" s="57">
        <f t="shared" si="5"/>
        <v>0.95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55"/>
      <c r="F68" s="55"/>
      <c r="G68" s="56" t="str">
        <f t="shared" si="4"/>
        <v/>
      </c>
      <c r="H68" s="57">
        <f t="shared" si="5"/>
        <v>0.95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55"/>
      <c r="F69" s="55"/>
      <c r="G69" s="56" t="str">
        <f t="shared" si="4"/>
        <v/>
      </c>
      <c r="H69" s="57">
        <f t="shared" si="5"/>
        <v>0.95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55"/>
      <c r="F70" s="55"/>
      <c r="G70" s="56" t="str">
        <f t="shared" si="4"/>
        <v/>
      </c>
      <c r="H70" s="57">
        <f t="shared" si="5"/>
        <v>0.95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55"/>
      <c r="F71" s="55"/>
      <c r="G71" s="56" t="str">
        <f t="shared" si="4"/>
        <v/>
      </c>
      <c r="H71" s="57">
        <f t="shared" si="5"/>
        <v>0.95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55"/>
      <c r="F72" s="55"/>
      <c r="G72" s="56" t="str">
        <f t="shared" si="4"/>
        <v/>
      </c>
      <c r="H72" s="57">
        <f t="shared" si="5"/>
        <v>0.95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55"/>
      <c r="F73" s="55"/>
      <c r="G73" s="56" t="str">
        <f t="shared" si="4"/>
        <v/>
      </c>
      <c r="H73" s="57">
        <f t="shared" si="5"/>
        <v>0.95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55"/>
      <c r="F74" s="55"/>
      <c r="G74" s="56" t="str">
        <f t="shared" si="4"/>
        <v/>
      </c>
      <c r="H74" s="57">
        <f t="shared" si="5"/>
        <v>0.95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55"/>
      <c r="F75" s="55"/>
      <c r="G75" s="56" t="str">
        <f t="shared" si="4"/>
        <v/>
      </c>
      <c r="H75" s="57">
        <f t="shared" si="5"/>
        <v>0.95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55"/>
      <c r="F76" s="55"/>
      <c r="G76" s="56" t="str">
        <f t="shared" si="4"/>
        <v/>
      </c>
      <c r="H76" s="57">
        <f t="shared" si="5"/>
        <v>0.95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55"/>
      <c r="F77" s="55"/>
      <c r="G77" s="56" t="str">
        <f t="shared" si="4"/>
        <v/>
      </c>
      <c r="H77" s="57">
        <f t="shared" si="5"/>
        <v>0.95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55"/>
      <c r="F78" s="55"/>
      <c r="G78" s="56" t="str">
        <f t="shared" si="4"/>
        <v/>
      </c>
      <c r="H78" s="57">
        <f t="shared" si="5"/>
        <v>0.95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55"/>
      <c r="F79" s="55"/>
      <c r="G79" s="56" t="str">
        <f t="shared" si="4"/>
        <v/>
      </c>
      <c r="H79" s="57">
        <f t="shared" si="5"/>
        <v>0.95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55"/>
      <c r="F80" s="55"/>
      <c r="G80" s="56" t="str">
        <f t="shared" si="4"/>
        <v/>
      </c>
      <c r="H80" s="57">
        <f t="shared" si="5"/>
        <v>0.95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55"/>
      <c r="F81" s="55"/>
      <c r="G81" s="56" t="str">
        <f t="shared" si="4"/>
        <v/>
      </c>
      <c r="H81" s="57">
        <f t="shared" si="5"/>
        <v>0.95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55"/>
      <c r="F82" s="55"/>
      <c r="G82" s="56" t="str">
        <f t="shared" si="4"/>
        <v/>
      </c>
      <c r="H82" s="57">
        <f t="shared" si="5"/>
        <v>0.95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104" priority="2">
      <formula>AND(ISNUMBER(I23),I23&gt;=0.95)</formula>
    </cfRule>
    <cfRule type="expression" dxfId="103" priority="3">
      <formula>AND(ISNUMBER(I23),I23&gt;=0.8,I23&lt;0.95)</formula>
    </cfRule>
    <cfRule type="expression" dxfId="102" priority="4">
      <formula>AND(ISNUMBER(I23),I23&lt;0.8)</formula>
    </cfRule>
  </conditionalFormatting>
  <conditionalFormatting sqref="J23:J82">
    <cfRule type="expression" dxfId="101" priority="5">
      <formula>J23="Cumple"</formula>
    </cfRule>
    <cfRule type="expression" dxfId="100" priority="6">
      <formula>J23="En riesgo"</formula>
    </cfRule>
    <cfRule type="expression" dxfId="99" priority="7">
      <formula>J23="Crítico"</formula>
    </cfRule>
    <cfRule type="expression" dxfId="98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6FB2"/>
  </sheetPr>
  <dimension ref="B2:L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8" width="22" customWidth="1"/>
    <col min="9" max="9" width="15" customWidth="1"/>
    <col min="10" max="10" width="12" customWidth="1"/>
    <col min="11" max="12" width="13" customWidth="1"/>
  </cols>
  <sheetData>
    <row r="2" spans="2:12" ht="27.75" customHeight="1" x14ac:dyDescent="0.35">
      <c r="B2" s="97" t="s">
        <v>267</v>
      </c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2:12" ht="18" customHeight="1" x14ac:dyDescent="0.35">
      <c r="B3" s="94" t="s">
        <v>261</v>
      </c>
      <c r="C3" s="72"/>
      <c r="D3" s="72"/>
      <c r="E3" s="72"/>
      <c r="F3" s="72"/>
      <c r="G3" s="72"/>
      <c r="H3" s="72"/>
      <c r="I3" s="72"/>
      <c r="J3" s="72"/>
      <c r="K3" s="72"/>
      <c r="L3" s="72"/>
    </row>
    <row r="5" spans="2:12" ht="25.5" customHeight="1" x14ac:dyDescent="0.35">
      <c r="B5" s="88" t="s">
        <v>113</v>
      </c>
      <c r="C5" s="81"/>
      <c r="D5" s="89" t="s">
        <v>166</v>
      </c>
      <c r="E5" s="80"/>
      <c r="F5" s="80"/>
      <c r="G5" s="80"/>
      <c r="H5" s="80"/>
      <c r="I5" s="80"/>
      <c r="J5" s="80"/>
      <c r="K5" s="80"/>
      <c r="L5" s="81"/>
    </row>
    <row r="6" spans="2:12" ht="25.5" customHeight="1" x14ac:dyDescent="0.35">
      <c r="B6" s="88" t="s">
        <v>114</v>
      </c>
      <c r="C6" s="81"/>
      <c r="D6" s="89" t="s">
        <v>167</v>
      </c>
      <c r="E6" s="80"/>
      <c r="F6" s="80"/>
      <c r="G6" s="80"/>
      <c r="H6" s="80"/>
      <c r="I6" s="80"/>
      <c r="J6" s="80"/>
      <c r="K6" s="80"/>
      <c r="L6" s="81"/>
    </row>
    <row r="7" spans="2:12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0"/>
      <c r="K7" s="80"/>
      <c r="L7" s="81"/>
    </row>
    <row r="8" spans="2:12" ht="19.5" customHeight="1" x14ac:dyDescent="0.35">
      <c r="B8" s="88" t="s">
        <v>214</v>
      </c>
      <c r="C8" s="81"/>
      <c r="D8" s="89" t="s">
        <v>160</v>
      </c>
      <c r="E8" s="80"/>
      <c r="F8" s="80"/>
      <c r="G8" s="80"/>
      <c r="H8" s="80"/>
      <c r="I8" s="80"/>
      <c r="J8" s="80"/>
      <c r="K8" s="80"/>
      <c r="L8" s="81"/>
    </row>
    <row r="9" spans="2:12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0"/>
      <c r="K9" s="80"/>
      <c r="L9" s="81"/>
    </row>
    <row r="10" spans="2:12" ht="19.5" customHeight="1" x14ac:dyDescent="0.35">
      <c r="B10" s="88" t="s">
        <v>117</v>
      </c>
      <c r="C10" s="81"/>
      <c r="D10" s="93" t="str">
        <f>VLOOKUP("IND-12",Parámetros!$B$6:$F$30,5,FALSE())</f>
        <v>Por definir</v>
      </c>
      <c r="E10" s="80"/>
      <c r="F10" s="80"/>
      <c r="G10" s="80"/>
      <c r="H10" s="80"/>
      <c r="I10" s="80"/>
      <c r="J10" s="80"/>
      <c r="K10" s="80"/>
      <c r="L10" s="81"/>
    </row>
    <row r="12" spans="2:12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</row>
    <row r="13" spans="2:12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0"/>
      <c r="K13" s="80"/>
      <c r="L13" s="81"/>
    </row>
    <row r="14" spans="2:12" ht="19.5" customHeight="1" x14ac:dyDescent="0.35">
      <c r="B14" s="51">
        <v>2026</v>
      </c>
      <c r="C14" s="91">
        <v>0.15</v>
      </c>
      <c r="D14" s="81"/>
      <c r="E14" s="92"/>
      <c r="F14" s="80"/>
      <c r="G14" s="80"/>
      <c r="H14" s="80"/>
      <c r="I14" s="80"/>
      <c r="J14" s="80"/>
      <c r="K14" s="80"/>
      <c r="L14" s="80"/>
    </row>
    <row r="15" spans="2:12" ht="19.5" customHeight="1" x14ac:dyDescent="0.35">
      <c r="B15" s="51">
        <v>2027</v>
      </c>
      <c r="C15" s="91">
        <v>0.15</v>
      </c>
      <c r="D15" s="81"/>
      <c r="E15" s="92"/>
      <c r="F15" s="80"/>
      <c r="G15" s="80"/>
      <c r="H15" s="80"/>
      <c r="I15" s="80"/>
      <c r="J15" s="80"/>
      <c r="K15" s="80"/>
      <c r="L15" s="80"/>
    </row>
    <row r="16" spans="2:12" ht="19.5" customHeight="1" x14ac:dyDescent="0.35">
      <c r="B16" s="51">
        <v>2028</v>
      </c>
      <c r="C16" s="91">
        <v>0.15</v>
      </c>
      <c r="D16" s="81"/>
      <c r="E16" s="92"/>
      <c r="F16" s="80"/>
      <c r="G16" s="80"/>
      <c r="H16" s="80"/>
      <c r="I16" s="80"/>
      <c r="J16" s="80"/>
      <c r="K16" s="80"/>
      <c r="L16" s="80"/>
    </row>
    <row r="17" spans="2:12" ht="19.5" customHeight="1" x14ac:dyDescent="0.35">
      <c r="B17" s="51">
        <v>2029</v>
      </c>
      <c r="C17" s="91">
        <v>0.15</v>
      </c>
      <c r="D17" s="81"/>
      <c r="E17" s="92"/>
      <c r="F17" s="80"/>
      <c r="G17" s="80"/>
      <c r="H17" s="80"/>
      <c r="I17" s="80"/>
      <c r="J17" s="80"/>
      <c r="K17" s="80"/>
      <c r="L17" s="80"/>
    </row>
    <row r="18" spans="2:12" ht="19.5" customHeight="1" x14ac:dyDescent="0.35">
      <c r="B18" s="51">
        <v>2030</v>
      </c>
      <c r="C18" s="91">
        <v>0.15</v>
      </c>
      <c r="D18" s="81"/>
      <c r="E18" s="92"/>
      <c r="F18" s="80"/>
      <c r="G18" s="80"/>
      <c r="H18" s="80"/>
      <c r="I18" s="80"/>
      <c r="J18" s="80"/>
      <c r="K18" s="80"/>
      <c r="L18" s="80"/>
    </row>
    <row r="20" spans="2:12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</row>
    <row r="21" spans="2:12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</row>
    <row r="22" spans="2:12" ht="30" customHeight="1" x14ac:dyDescent="0.35">
      <c r="B22" s="21" t="s">
        <v>220</v>
      </c>
      <c r="C22" s="21" t="s">
        <v>208</v>
      </c>
      <c r="D22" s="21" t="s">
        <v>209</v>
      </c>
      <c r="E22" s="21" t="s">
        <v>268</v>
      </c>
      <c r="F22" s="21" t="s">
        <v>269</v>
      </c>
      <c r="G22" s="21" t="s">
        <v>270</v>
      </c>
      <c r="H22" s="21" t="s">
        <v>271</v>
      </c>
      <c r="I22" s="21" t="s">
        <v>223</v>
      </c>
      <c r="J22" s="21" t="s">
        <v>224</v>
      </c>
      <c r="K22" s="21" t="s">
        <v>225</v>
      </c>
      <c r="L22" s="21" t="s">
        <v>226</v>
      </c>
    </row>
    <row r="23" spans="2:12" ht="18" customHeight="1" x14ac:dyDescent="0.35">
      <c r="B23" s="52">
        <v>1</v>
      </c>
      <c r="C23" s="53">
        <v>2026</v>
      </c>
      <c r="D23" s="54" t="s">
        <v>227</v>
      </c>
      <c r="E23" s="55"/>
      <c r="F23" s="55"/>
      <c r="G23" s="55"/>
      <c r="H23" s="55"/>
      <c r="I23" s="56" t="str">
        <f t="shared" ref="I23:I54" si="0">IFERROR(IF(H23=0,"",(E23+F23+G23)/H23),"")</f>
        <v/>
      </c>
      <c r="J23" s="57">
        <f t="shared" ref="J23:J54" si="1">IFERROR(VLOOKUP(C23,$B$14:$C$18,2,FALSE()),"")</f>
        <v>0.15</v>
      </c>
      <c r="K23" s="56" t="str">
        <f t="shared" ref="K23:K54" si="2">IFERROR(IF(OR(I23="",NOT(ISNUMBER(J23))),"",1-ABS(I23-J23)/MAX(ABS(J23),1)),"")</f>
        <v/>
      </c>
      <c r="L23" s="32" t="str">
        <f t="shared" ref="L23:L54" si="3">IFERROR(IF(K23="","Pendiente",IF(K23&gt;=0.95,"Cumple",IF(K23&gt;=0.8,"En riesgo","Crítico"))),"Pendiente")</f>
        <v>Pendiente</v>
      </c>
    </row>
    <row r="24" spans="2:12" ht="18" customHeight="1" x14ac:dyDescent="0.35">
      <c r="B24" s="52">
        <v>2</v>
      </c>
      <c r="C24" s="53">
        <v>2026</v>
      </c>
      <c r="D24" s="54" t="s">
        <v>228</v>
      </c>
      <c r="E24" s="55"/>
      <c r="F24" s="55"/>
      <c r="G24" s="55"/>
      <c r="H24" s="55"/>
      <c r="I24" s="56" t="str">
        <f t="shared" si="0"/>
        <v/>
      </c>
      <c r="J24" s="57">
        <f t="shared" si="1"/>
        <v>0.15</v>
      </c>
      <c r="K24" s="56" t="str">
        <f t="shared" si="2"/>
        <v/>
      </c>
      <c r="L24" s="32" t="str">
        <f t="shared" si="3"/>
        <v>Pendiente</v>
      </c>
    </row>
    <row r="25" spans="2:12" ht="18" customHeight="1" x14ac:dyDescent="0.35">
      <c r="B25" s="52">
        <v>3</v>
      </c>
      <c r="C25" s="53">
        <v>2026</v>
      </c>
      <c r="D25" s="54" t="s">
        <v>229</v>
      </c>
      <c r="E25" s="55"/>
      <c r="F25" s="55"/>
      <c r="G25" s="55"/>
      <c r="H25" s="55"/>
      <c r="I25" s="56" t="str">
        <f t="shared" si="0"/>
        <v/>
      </c>
      <c r="J25" s="57">
        <f t="shared" si="1"/>
        <v>0.15</v>
      </c>
      <c r="K25" s="56" t="str">
        <f t="shared" si="2"/>
        <v/>
      </c>
      <c r="L25" s="32" t="str">
        <f t="shared" si="3"/>
        <v>Pendiente</v>
      </c>
    </row>
    <row r="26" spans="2:12" ht="18" customHeight="1" x14ac:dyDescent="0.35">
      <c r="B26" s="52">
        <v>4</v>
      </c>
      <c r="C26" s="53">
        <v>2026</v>
      </c>
      <c r="D26" s="54" t="s">
        <v>230</v>
      </c>
      <c r="E26" s="55"/>
      <c r="F26" s="55"/>
      <c r="G26" s="55"/>
      <c r="H26" s="55"/>
      <c r="I26" s="56" t="str">
        <f t="shared" si="0"/>
        <v/>
      </c>
      <c r="J26" s="57">
        <f t="shared" si="1"/>
        <v>0.15</v>
      </c>
      <c r="K26" s="56" t="str">
        <f t="shared" si="2"/>
        <v/>
      </c>
      <c r="L26" s="32" t="str">
        <f t="shared" si="3"/>
        <v>Pendiente</v>
      </c>
    </row>
    <row r="27" spans="2:12" ht="18" customHeight="1" x14ac:dyDescent="0.35">
      <c r="B27" s="52">
        <v>5</v>
      </c>
      <c r="C27" s="53">
        <v>2026</v>
      </c>
      <c r="D27" s="54" t="s">
        <v>231</v>
      </c>
      <c r="E27" s="55"/>
      <c r="F27" s="55"/>
      <c r="G27" s="55"/>
      <c r="H27" s="55"/>
      <c r="I27" s="56" t="str">
        <f t="shared" si="0"/>
        <v/>
      </c>
      <c r="J27" s="57">
        <f t="shared" si="1"/>
        <v>0.15</v>
      </c>
      <c r="K27" s="56" t="str">
        <f t="shared" si="2"/>
        <v/>
      </c>
      <c r="L27" s="32" t="str">
        <f t="shared" si="3"/>
        <v>Pendiente</v>
      </c>
    </row>
    <row r="28" spans="2:12" ht="18" customHeight="1" x14ac:dyDescent="0.35">
      <c r="B28" s="52">
        <v>6</v>
      </c>
      <c r="C28" s="53">
        <v>2026</v>
      </c>
      <c r="D28" s="54" t="s">
        <v>232</v>
      </c>
      <c r="E28" s="55"/>
      <c r="F28" s="55"/>
      <c r="G28" s="55"/>
      <c r="H28" s="55"/>
      <c r="I28" s="56" t="str">
        <f t="shared" si="0"/>
        <v/>
      </c>
      <c r="J28" s="57">
        <f t="shared" si="1"/>
        <v>0.15</v>
      </c>
      <c r="K28" s="56" t="str">
        <f t="shared" si="2"/>
        <v/>
      </c>
      <c r="L28" s="32" t="str">
        <f t="shared" si="3"/>
        <v>Pendiente</v>
      </c>
    </row>
    <row r="29" spans="2:12" ht="18" customHeight="1" x14ac:dyDescent="0.35">
      <c r="B29" s="52">
        <v>7</v>
      </c>
      <c r="C29" s="53">
        <v>2026</v>
      </c>
      <c r="D29" s="54" t="s">
        <v>233</v>
      </c>
      <c r="E29" s="55"/>
      <c r="F29" s="55"/>
      <c r="G29" s="55"/>
      <c r="H29" s="55"/>
      <c r="I29" s="56" t="str">
        <f t="shared" si="0"/>
        <v/>
      </c>
      <c r="J29" s="57">
        <f t="shared" si="1"/>
        <v>0.15</v>
      </c>
      <c r="K29" s="56" t="str">
        <f t="shared" si="2"/>
        <v/>
      </c>
      <c r="L29" s="32" t="str">
        <f t="shared" si="3"/>
        <v>Pendiente</v>
      </c>
    </row>
    <row r="30" spans="2:12" ht="18" customHeight="1" x14ac:dyDescent="0.35">
      <c r="B30" s="52">
        <v>8</v>
      </c>
      <c r="C30" s="53">
        <v>2026</v>
      </c>
      <c r="D30" s="54" t="s">
        <v>234</v>
      </c>
      <c r="E30" s="55"/>
      <c r="F30" s="55"/>
      <c r="G30" s="55"/>
      <c r="H30" s="55"/>
      <c r="I30" s="56" t="str">
        <f t="shared" si="0"/>
        <v/>
      </c>
      <c r="J30" s="57">
        <f t="shared" si="1"/>
        <v>0.15</v>
      </c>
      <c r="K30" s="56" t="str">
        <f t="shared" si="2"/>
        <v/>
      </c>
      <c r="L30" s="32" t="str">
        <f t="shared" si="3"/>
        <v>Pendiente</v>
      </c>
    </row>
    <row r="31" spans="2:12" ht="18" customHeight="1" x14ac:dyDescent="0.35">
      <c r="B31" s="52">
        <v>9</v>
      </c>
      <c r="C31" s="53">
        <v>2026</v>
      </c>
      <c r="D31" s="54" t="s">
        <v>235</v>
      </c>
      <c r="E31" s="55"/>
      <c r="F31" s="55"/>
      <c r="G31" s="55"/>
      <c r="H31" s="55"/>
      <c r="I31" s="56" t="str">
        <f t="shared" si="0"/>
        <v/>
      </c>
      <c r="J31" s="57">
        <f t="shared" si="1"/>
        <v>0.15</v>
      </c>
      <c r="K31" s="56" t="str">
        <f t="shared" si="2"/>
        <v/>
      </c>
      <c r="L31" s="32" t="str">
        <f t="shared" si="3"/>
        <v>Pendiente</v>
      </c>
    </row>
    <row r="32" spans="2:12" ht="18" customHeight="1" x14ac:dyDescent="0.35">
      <c r="B32" s="52">
        <v>10</v>
      </c>
      <c r="C32" s="53">
        <v>2026</v>
      </c>
      <c r="D32" s="54" t="s">
        <v>236</v>
      </c>
      <c r="E32" s="55"/>
      <c r="F32" s="55"/>
      <c r="G32" s="55"/>
      <c r="H32" s="55"/>
      <c r="I32" s="56" t="str">
        <f t="shared" si="0"/>
        <v/>
      </c>
      <c r="J32" s="57">
        <f t="shared" si="1"/>
        <v>0.15</v>
      </c>
      <c r="K32" s="56" t="str">
        <f t="shared" si="2"/>
        <v/>
      </c>
      <c r="L32" s="32" t="str">
        <f t="shared" si="3"/>
        <v>Pendiente</v>
      </c>
    </row>
    <row r="33" spans="2:12" ht="18" customHeight="1" x14ac:dyDescent="0.35">
      <c r="B33" s="52">
        <v>11</v>
      </c>
      <c r="C33" s="53">
        <v>2026</v>
      </c>
      <c r="D33" s="54" t="s">
        <v>237</v>
      </c>
      <c r="E33" s="55"/>
      <c r="F33" s="55"/>
      <c r="G33" s="55"/>
      <c r="H33" s="55"/>
      <c r="I33" s="56" t="str">
        <f t="shared" si="0"/>
        <v/>
      </c>
      <c r="J33" s="57">
        <f t="shared" si="1"/>
        <v>0.15</v>
      </c>
      <c r="K33" s="56" t="str">
        <f t="shared" si="2"/>
        <v/>
      </c>
      <c r="L33" s="32" t="str">
        <f t="shared" si="3"/>
        <v>Pendiente</v>
      </c>
    </row>
    <row r="34" spans="2:12" ht="18" customHeight="1" x14ac:dyDescent="0.35">
      <c r="B34" s="52">
        <v>12</v>
      </c>
      <c r="C34" s="53">
        <v>2026</v>
      </c>
      <c r="D34" s="54" t="s">
        <v>238</v>
      </c>
      <c r="E34" s="55"/>
      <c r="F34" s="55"/>
      <c r="G34" s="55"/>
      <c r="H34" s="55"/>
      <c r="I34" s="56" t="str">
        <f t="shared" si="0"/>
        <v/>
      </c>
      <c r="J34" s="57">
        <f t="shared" si="1"/>
        <v>0.15</v>
      </c>
      <c r="K34" s="56" t="str">
        <f t="shared" si="2"/>
        <v/>
      </c>
      <c r="L34" s="32" t="str">
        <f t="shared" si="3"/>
        <v>Pendiente</v>
      </c>
    </row>
    <row r="35" spans="2:12" ht="18" customHeight="1" x14ac:dyDescent="0.35">
      <c r="B35" s="52">
        <v>13</v>
      </c>
      <c r="C35" s="53">
        <v>2027</v>
      </c>
      <c r="D35" s="54" t="s">
        <v>227</v>
      </c>
      <c r="E35" s="55"/>
      <c r="F35" s="55"/>
      <c r="G35" s="55"/>
      <c r="H35" s="55"/>
      <c r="I35" s="56" t="str">
        <f t="shared" si="0"/>
        <v/>
      </c>
      <c r="J35" s="57">
        <f t="shared" si="1"/>
        <v>0.15</v>
      </c>
      <c r="K35" s="56" t="str">
        <f t="shared" si="2"/>
        <v/>
      </c>
      <c r="L35" s="32" t="str">
        <f t="shared" si="3"/>
        <v>Pendiente</v>
      </c>
    </row>
    <row r="36" spans="2:12" ht="18" customHeight="1" x14ac:dyDescent="0.35">
      <c r="B36" s="52">
        <v>14</v>
      </c>
      <c r="C36" s="53">
        <v>2027</v>
      </c>
      <c r="D36" s="54" t="s">
        <v>228</v>
      </c>
      <c r="E36" s="55"/>
      <c r="F36" s="55"/>
      <c r="G36" s="55"/>
      <c r="H36" s="55"/>
      <c r="I36" s="56" t="str">
        <f t="shared" si="0"/>
        <v/>
      </c>
      <c r="J36" s="57">
        <f t="shared" si="1"/>
        <v>0.15</v>
      </c>
      <c r="K36" s="56" t="str">
        <f t="shared" si="2"/>
        <v/>
      </c>
      <c r="L36" s="32" t="str">
        <f t="shared" si="3"/>
        <v>Pendiente</v>
      </c>
    </row>
    <row r="37" spans="2:12" ht="18" customHeight="1" x14ac:dyDescent="0.35">
      <c r="B37" s="52">
        <v>15</v>
      </c>
      <c r="C37" s="53">
        <v>2027</v>
      </c>
      <c r="D37" s="54" t="s">
        <v>229</v>
      </c>
      <c r="E37" s="55"/>
      <c r="F37" s="55"/>
      <c r="G37" s="55"/>
      <c r="H37" s="55"/>
      <c r="I37" s="56" t="str">
        <f t="shared" si="0"/>
        <v/>
      </c>
      <c r="J37" s="57">
        <f t="shared" si="1"/>
        <v>0.15</v>
      </c>
      <c r="K37" s="56" t="str">
        <f t="shared" si="2"/>
        <v/>
      </c>
      <c r="L37" s="32" t="str">
        <f t="shared" si="3"/>
        <v>Pendiente</v>
      </c>
    </row>
    <row r="38" spans="2:12" ht="18" customHeight="1" x14ac:dyDescent="0.35">
      <c r="B38" s="52">
        <v>16</v>
      </c>
      <c r="C38" s="53">
        <v>2027</v>
      </c>
      <c r="D38" s="54" t="s">
        <v>230</v>
      </c>
      <c r="E38" s="55"/>
      <c r="F38" s="55"/>
      <c r="G38" s="55"/>
      <c r="H38" s="55"/>
      <c r="I38" s="56" t="str">
        <f t="shared" si="0"/>
        <v/>
      </c>
      <c r="J38" s="57">
        <f t="shared" si="1"/>
        <v>0.15</v>
      </c>
      <c r="K38" s="56" t="str">
        <f t="shared" si="2"/>
        <v/>
      </c>
      <c r="L38" s="32" t="str">
        <f t="shared" si="3"/>
        <v>Pendiente</v>
      </c>
    </row>
    <row r="39" spans="2:12" ht="18" customHeight="1" x14ac:dyDescent="0.35">
      <c r="B39" s="52">
        <v>17</v>
      </c>
      <c r="C39" s="53">
        <v>2027</v>
      </c>
      <c r="D39" s="54" t="s">
        <v>231</v>
      </c>
      <c r="E39" s="55"/>
      <c r="F39" s="55"/>
      <c r="G39" s="55"/>
      <c r="H39" s="55"/>
      <c r="I39" s="56" t="str">
        <f t="shared" si="0"/>
        <v/>
      </c>
      <c r="J39" s="57">
        <f t="shared" si="1"/>
        <v>0.15</v>
      </c>
      <c r="K39" s="56" t="str">
        <f t="shared" si="2"/>
        <v/>
      </c>
      <c r="L39" s="32" t="str">
        <f t="shared" si="3"/>
        <v>Pendiente</v>
      </c>
    </row>
    <row r="40" spans="2:12" ht="18" customHeight="1" x14ac:dyDescent="0.35">
      <c r="B40" s="52">
        <v>18</v>
      </c>
      <c r="C40" s="53">
        <v>2027</v>
      </c>
      <c r="D40" s="54" t="s">
        <v>232</v>
      </c>
      <c r="E40" s="55"/>
      <c r="F40" s="55"/>
      <c r="G40" s="55"/>
      <c r="H40" s="55"/>
      <c r="I40" s="56" t="str">
        <f t="shared" si="0"/>
        <v/>
      </c>
      <c r="J40" s="57">
        <f t="shared" si="1"/>
        <v>0.15</v>
      </c>
      <c r="K40" s="56" t="str">
        <f t="shared" si="2"/>
        <v/>
      </c>
      <c r="L40" s="32" t="str">
        <f t="shared" si="3"/>
        <v>Pendiente</v>
      </c>
    </row>
    <row r="41" spans="2:12" ht="18" customHeight="1" x14ac:dyDescent="0.35">
      <c r="B41" s="52">
        <v>19</v>
      </c>
      <c r="C41" s="53">
        <v>2027</v>
      </c>
      <c r="D41" s="54" t="s">
        <v>233</v>
      </c>
      <c r="E41" s="55"/>
      <c r="F41" s="55"/>
      <c r="G41" s="55"/>
      <c r="H41" s="55"/>
      <c r="I41" s="56" t="str">
        <f t="shared" si="0"/>
        <v/>
      </c>
      <c r="J41" s="57">
        <f t="shared" si="1"/>
        <v>0.15</v>
      </c>
      <c r="K41" s="56" t="str">
        <f t="shared" si="2"/>
        <v/>
      </c>
      <c r="L41" s="32" t="str">
        <f t="shared" si="3"/>
        <v>Pendiente</v>
      </c>
    </row>
    <row r="42" spans="2:12" ht="18" customHeight="1" x14ac:dyDescent="0.35">
      <c r="B42" s="52">
        <v>20</v>
      </c>
      <c r="C42" s="53">
        <v>2027</v>
      </c>
      <c r="D42" s="54" t="s">
        <v>234</v>
      </c>
      <c r="E42" s="55"/>
      <c r="F42" s="55"/>
      <c r="G42" s="55"/>
      <c r="H42" s="55"/>
      <c r="I42" s="56" t="str">
        <f t="shared" si="0"/>
        <v/>
      </c>
      <c r="J42" s="57">
        <f t="shared" si="1"/>
        <v>0.15</v>
      </c>
      <c r="K42" s="56" t="str">
        <f t="shared" si="2"/>
        <v/>
      </c>
      <c r="L42" s="32" t="str">
        <f t="shared" si="3"/>
        <v>Pendiente</v>
      </c>
    </row>
    <row r="43" spans="2:12" ht="18" customHeight="1" x14ac:dyDescent="0.35">
      <c r="B43" s="52">
        <v>21</v>
      </c>
      <c r="C43" s="53">
        <v>2027</v>
      </c>
      <c r="D43" s="54" t="s">
        <v>235</v>
      </c>
      <c r="E43" s="55"/>
      <c r="F43" s="55"/>
      <c r="G43" s="55"/>
      <c r="H43" s="55"/>
      <c r="I43" s="56" t="str">
        <f t="shared" si="0"/>
        <v/>
      </c>
      <c r="J43" s="57">
        <f t="shared" si="1"/>
        <v>0.15</v>
      </c>
      <c r="K43" s="56" t="str">
        <f t="shared" si="2"/>
        <v/>
      </c>
      <c r="L43" s="32" t="str">
        <f t="shared" si="3"/>
        <v>Pendiente</v>
      </c>
    </row>
    <row r="44" spans="2:12" ht="18" customHeight="1" x14ac:dyDescent="0.35">
      <c r="B44" s="52">
        <v>22</v>
      </c>
      <c r="C44" s="53">
        <v>2027</v>
      </c>
      <c r="D44" s="54" t="s">
        <v>236</v>
      </c>
      <c r="E44" s="55"/>
      <c r="F44" s="55"/>
      <c r="G44" s="55"/>
      <c r="H44" s="55"/>
      <c r="I44" s="56" t="str">
        <f t="shared" si="0"/>
        <v/>
      </c>
      <c r="J44" s="57">
        <f t="shared" si="1"/>
        <v>0.15</v>
      </c>
      <c r="K44" s="56" t="str">
        <f t="shared" si="2"/>
        <v/>
      </c>
      <c r="L44" s="32" t="str">
        <f t="shared" si="3"/>
        <v>Pendiente</v>
      </c>
    </row>
    <row r="45" spans="2:12" ht="18" customHeight="1" x14ac:dyDescent="0.35">
      <c r="B45" s="52">
        <v>23</v>
      </c>
      <c r="C45" s="53">
        <v>2027</v>
      </c>
      <c r="D45" s="54" t="s">
        <v>237</v>
      </c>
      <c r="E45" s="55"/>
      <c r="F45" s="55"/>
      <c r="G45" s="55"/>
      <c r="H45" s="55"/>
      <c r="I45" s="56" t="str">
        <f t="shared" si="0"/>
        <v/>
      </c>
      <c r="J45" s="57">
        <f t="shared" si="1"/>
        <v>0.15</v>
      </c>
      <c r="K45" s="56" t="str">
        <f t="shared" si="2"/>
        <v/>
      </c>
      <c r="L45" s="32" t="str">
        <f t="shared" si="3"/>
        <v>Pendiente</v>
      </c>
    </row>
    <row r="46" spans="2:12" ht="18" customHeight="1" x14ac:dyDescent="0.35">
      <c r="B46" s="52">
        <v>24</v>
      </c>
      <c r="C46" s="53">
        <v>2027</v>
      </c>
      <c r="D46" s="54" t="s">
        <v>238</v>
      </c>
      <c r="E46" s="55"/>
      <c r="F46" s="55"/>
      <c r="G46" s="55"/>
      <c r="H46" s="55"/>
      <c r="I46" s="56" t="str">
        <f t="shared" si="0"/>
        <v/>
      </c>
      <c r="J46" s="57">
        <f t="shared" si="1"/>
        <v>0.15</v>
      </c>
      <c r="K46" s="56" t="str">
        <f t="shared" si="2"/>
        <v/>
      </c>
      <c r="L46" s="32" t="str">
        <f t="shared" si="3"/>
        <v>Pendiente</v>
      </c>
    </row>
    <row r="47" spans="2:12" ht="18" customHeight="1" x14ac:dyDescent="0.35">
      <c r="B47" s="52">
        <v>25</v>
      </c>
      <c r="C47" s="53">
        <v>2028</v>
      </c>
      <c r="D47" s="54" t="s">
        <v>227</v>
      </c>
      <c r="E47" s="55"/>
      <c r="F47" s="55"/>
      <c r="G47" s="55"/>
      <c r="H47" s="55"/>
      <c r="I47" s="56" t="str">
        <f t="shared" si="0"/>
        <v/>
      </c>
      <c r="J47" s="57">
        <f t="shared" si="1"/>
        <v>0.15</v>
      </c>
      <c r="K47" s="56" t="str">
        <f t="shared" si="2"/>
        <v/>
      </c>
      <c r="L47" s="32" t="str">
        <f t="shared" si="3"/>
        <v>Pendiente</v>
      </c>
    </row>
    <row r="48" spans="2:12" ht="18" customHeight="1" x14ac:dyDescent="0.35">
      <c r="B48" s="52">
        <v>26</v>
      </c>
      <c r="C48" s="53">
        <v>2028</v>
      </c>
      <c r="D48" s="54" t="s">
        <v>228</v>
      </c>
      <c r="E48" s="55"/>
      <c r="F48" s="55"/>
      <c r="G48" s="55"/>
      <c r="H48" s="55"/>
      <c r="I48" s="56" t="str">
        <f t="shared" si="0"/>
        <v/>
      </c>
      <c r="J48" s="57">
        <f t="shared" si="1"/>
        <v>0.15</v>
      </c>
      <c r="K48" s="56" t="str">
        <f t="shared" si="2"/>
        <v/>
      </c>
      <c r="L48" s="32" t="str">
        <f t="shared" si="3"/>
        <v>Pendiente</v>
      </c>
    </row>
    <row r="49" spans="2:12" ht="18" customHeight="1" x14ac:dyDescent="0.35">
      <c r="B49" s="52">
        <v>27</v>
      </c>
      <c r="C49" s="53">
        <v>2028</v>
      </c>
      <c r="D49" s="54" t="s">
        <v>229</v>
      </c>
      <c r="E49" s="55"/>
      <c r="F49" s="55"/>
      <c r="G49" s="55"/>
      <c r="H49" s="55"/>
      <c r="I49" s="56" t="str">
        <f t="shared" si="0"/>
        <v/>
      </c>
      <c r="J49" s="57">
        <f t="shared" si="1"/>
        <v>0.15</v>
      </c>
      <c r="K49" s="56" t="str">
        <f t="shared" si="2"/>
        <v/>
      </c>
      <c r="L49" s="32" t="str">
        <f t="shared" si="3"/>
        <v>Pendiente</v>
      </c>
    </row>
    <row r="50" spans="2:12" ht="18" customHeight="1" x14ac:dyDescent="0.35">
      <c r="B50" s="52">
        <v>28</v>
      </c>
      <c r="C50" s="53">
        <v>2028</v>
      </c>
      <c r="D50" s="54" t="s">
        <v>230</v>
      </c>
      <c r="E50" s="55"/>
      <c r="F50" s="55"/>
      <c r="G50" s="55"/>
      <c r="H50" s="55"/>
      <c r="I50" s="56" t="str">
        <f t="shared" si="0"/>
        <v/>
      </c>
      <c r="J50" s="57">
        <f t="shared" si="1"/>
        <v>0.15</v>
      </c>
      <c r="K50" s="56" t="str">
        <f t="shared" si="2"/>
        <v/>
      </c>
      <c r="L50" s="32" t="str">
        <f t="shared" si="3"/>
        <v>Pendiente</v>
      </c>
    </row>
    <row r="51" spans="2:12" ht="18" customHeight="1" x14ac:dyDescent="0.35">
      <c r="B51" s="52">
        <v>29</v>
      </c>
      <c r="C51" s="53">
        <v>2028</v>
      </c>
      <c r="D51" s="54" t="s">
        <v>231</v>
      </c>
      <c r="E51" s="55"/>
      <c r="F51" s="55"/>
      <c r="G51" s="55"/>
      <c r="H51" s="55"/>
      <c r="I51" s="56" t="str">
        <f t="shared" si="0"/>
        <v/>
      </c>
      <c r="J51" s="57">
        <f t="shared" si="1"/>
        <v>0.15</v>
      </c>
      <c r="K51" s="56" t="str">
        <f t="shared" si="2"/>
        <v/>
      </c>
      <c r="L51" s="32" t="str">
        <f t="shared" si="3"/>
        <v>Pendiente</v>
      </c>
    </row>
    <row r="52" spans="2:12" ht="18" customHeight="1" x14ac:dyDescent="0.35">
      <c r="B52" s="52">
        <v>30</v>
      </c>
      <c r="C52" s="53">
        <v>2028</v>
      </c>
      <c r="D52" s="54" t="s">
        <v>232</v>
      </c>
      <c r="E52" s="55"/>
      <c r="F52" s="55"/>
      <c r="G52" s="55"/>
      <c r="H52" s="55"/>
      <c r="I52" s="56" t="str">
        <f t="shared" si="0"/>
        <v/>
      </c>
      <c r="J52" s="57">
        <f t="shared" si="1"/>
        <v>0.15</v>
      </c>
      <c r="K52" s="56" t="str">
        <f t="shared" si="2"/>
        <v/>
      </c>
      <c r="L52" s="32" t="str">
        <f t="shared" si="3"/>
        <v>Pendiente</v>
      </c>
    </row>
    <row r="53" spans="2:12" ht="18" customHeight="1" x14ac:dyDescent="0.35">
      <c r="B53" s="52">
        <v>31</v>
      </c>
      <c r="C53" s="53">
        <v>2028</v>
      </c>
      <c r="D53" s="54" t="s">
        <v>233</v>
      </c>
      <c r="E53" s="55"/>
      <c r="F53" s="55"/>
      <c r="G53" s="55"/>
      <c r="H53" s="55"/>
      <c r="I53" s="56" t="str">
        <f t="shared" si="0"/>
        <v/>
      </c>
      <c r="J53" s="57">
        <f t="shared" si="1"/>
        <v>0.15</v>
      </c>
      <c r="K53" s="56" t="str">
        <f t="shared" si="2"/>
        <v/>
      </c>
      <c r="L53" s="32" t="str">
        <f t="shared" si="3"/>
        <v>Pendiente</v>
      </c>
    </row>
    <row r="54" spans="2:12" ht="18" customHeight="1" x14ac:dyDescent="0.35">
      <c r="B54" s="52">
        <v>32</v>
      </c>
      <c r="C54" s="53">
        <v>2028</v>
      </c>
      <c r="D54" s="54" t="s">
        <v>234</v>
      </c>
      <c r="E54" s="55"/>
      <c r="F54" s="55"/>
      <c r="G54" s="55"/>
      <c r="H54" s="55"/>
      <c r="I54" s="56" t="str">
        <f t="shared" si="0"/>
        <v/>
      </c>
      <c r="J54" s="57">
        <f t="shared" si="1"/>
        <v>0.15</v>
      </c>
      <c r="K54" s="56" t="str">
        <f t="shared" si="2"/>
        <v/>
      </c>
      <c r="L54" s="32" t="str">
        <f t="shared" si="3"/>
        <v>Pendiente</v>
      </c>
    </row>
    <row r="55" spans="2:12" ht="18" customHeight="1" x14ac:dyDescent="0.35">
      <c r="B55" s="52">
        <v>33</v>
      </c>
      <c r="C55" s="53">
        <v>2028</v>
      </c>
      <c r="D55" s="54" t="s">
        <v>235</v>
      </c>
      <c r="E55" s="55"/>
      <c r="F55" s="55"/>
      <c r="G55" s="55"/>
      <c r="H55" s="55"/>
      <c r="I55" s="56" t="str">
        <f t="shared" ref="I55:I86" si="4">IFERROR(IF(H55=0,"",(E55+F55+G55)/H55),"")</f>
        <v/>
      </c>
      <c r="J55" s="57">
        <f t="shared" ref="J55:J82" si="5">IFERROR(VLOOKUP(C55,$B$14:$C$18,2,FALSE()),"")</f>
        <v>0.15</v>
      </c>
      <c r="K55" s="56" t="str">
        <f t="shared" ref="K55:K86" si="6">IFERROR(IF(OR(I55="",NOT(ISNUMBER(J55))),"",1-ABS(I55-J55)/MAX(ABS(J55),1)),"")</f>
        <v/>
      </c>
      <c r="L55" s="32" t="str">
        <f t="shared" ref="L55:L86" si="7">IFERROR(IF(K55="","Pendiente",IF(K55&gt;=0.95,"Cumple",IF(K55&gt;=0.8,"En riesgo","Crítico"))),"Pendiente")</f>
        <v>Pendiente</v>
      </c>
    </row>
    <row r="56" spans="2:12" ht="18" customHeight="1" x14ac:dyDescent="0.35">
      <c r="B56" s="52">
        <v>34</v>
      </c>
      <c r="C56" s="53">
        <v>2028</v>
      </c>
      <c r="D56" s="54" t="s">
        <v>236</v>
      </c>
      <c r="E56" s="55"/>
      <c r="F56" s="55"/>
      <c r="G56" s="55"/>
      <c r="H56" s="55"/>
      <c r="I56" s="56" t="str">
        <f t="shared" si="4"/>
        <v/>
      </c>
      <c r="J56" s="57">
        <f t="shared" si="5"/>
        <v>0.15</v>
      </c>
      <c r="K56" s="56" t="str">
        <f t="shared" si="6"/>
        <v/>
      </c>
      <c r="L56" s="32" t="str">
        <f t="shared" si="7"/>
        <v>Pendiente</v>
      </c>
    </row>
    <row r="57" spans="2:12" ht="18" customHeight="1" x14ac:dyDescent="0.35">
      <c r="B57" s="52">
        <v>35</v>
      </c>
      <c r="C57" s="53">
        <v>2028</v>
      </c>
      <c r="D57" s="54" t="s">
        <v>237</v>
      </c>
      <c r="E57" s="55"/>
      <c r="F57" s="55"/>
      <c r="G57" s="55"/>
      <c r="H57" s="55"/>
      <c r="I57" s="56" t="str">
        <f t="shared" si="4"/>
        <v/>
      </c>
      <c r="J57" s="57">
        <f t="shared" si="5"/>
        <v>0.15</v>
      </c>
      <c r="K57" s="56" t="str">
        <f t="shared" si="6"/>
        <v/>
      </c>
      <c r="L57" s="32" t="str">
        <f t="shared" si="7"/>
        <v>Pendiente</v>
      </c>
    </row>
    <row r="58" spans="2:12" ht="18" customHeight="1" x14ac:dyDescent="0.35">
      <c r="B58" s="52">
        <v>36</v>
      </c>
      <c r="C58" s="53">
        <v>2028</v>
      </c>
      <c r="D58" s="54" t="s">
        <v>238</v>
      </c>
      <c r="E58" s="55"/>
      <c r="F58" s="55"/>
      <c r="G58" s="55"/>
      <c r="H58" s="55"/>
      <c r="I58" s="56" t="str">
        <f t="shared" si="4"/>
        <v/>
      </c>
      <c r="J58" s="57">
        <f t="shared" si="5"/>
        <v>0.15</v>
      </c>
      <c r="K58" s="56" t="str">
        <f t="shared" si="6"/>
        <v/>
      </c>
      <c r="L58" s="32" t="str">
        <f t="shared" si="7"/>
        <v>Pendiente</v>
      </c>
    </row>
    <row r="59" spans="2:12" ht="18" customHeight="1" x14ac:dyDescent="0.35">
      <c r="B59" s="52">
        <v>37</v>
      </c>
      <c r="C59" s="53">
        <v>2029</v>
      </c>
      <c r="D59" s="54" t="s">
        <v>227</v>
      </c>
      <c r="E59" s="55"/>
      <c r="F59" s="55"/>
      <c r="G59" s="55"/>
      <c r="H59" s="55"/>
      <c r="I59" s="56" t="str">
        <f t="shared" si="4"/>
        <v/>
      </c>
      <c r="J59" s="57">
        <f t="shared" si="5"/>
        <v>0.15</v>
      </c>
      <c r="K59" s="56" t="str">
        <f t="shared" si="6"/>
        <v/>
      </c>
      <c r="L59" s="32" t="str">
        <f t="shared" si="7"/>
        <v>Pendiente</v>
      </c>
    </row>
    <row r="60" spans="2:12" ht="18" customHeight="1" x14ac:dyDescent="0.35">
      <c r="B60" s="52">
        <v>38</v>
      </c>
      <c r="C60" s="53">
        <v>2029</v>
      </c>
      <c r="D60" s="54" t="s">
        <v>228</v>
      </c>
      <c r="E60" s="55"/>
      <c r="F60" s="55"/>
      <c r="G60" s="55"/>
      <c r="H60" s="55"/>
      <c r="I60" s="56" t="str">
        <f t="shared" si="4"/>
        <v/>
      </c>
      <c r="J60" s="57">
        <f t="shared" si="5"/>
        <v>0.15</v>
      </c>
      <c r="K60" s="56" t="str">
        <f t="shared" si="6"/>
        <v/>
      </c>
      <c r="L60" s="32" t="str">
        <f t="shared" si="7"/>
        <v>Pendiente</v>
      </c>
    </row>
    <row r="61" spans="2:12" ht="18" customHeight="1" x14ac:dyDescent="0.35">
      <c r="B61" s="52">
        <v>39</v>
      </c>
      <c r="C61" s="53">
        <v>2029</v>
      </c>
      <c r="D61" s="54" t="s">
        <v>229</v>
      </c>
      <c r="E61" s="55"/>
      <c r="F61" s="55"/>
      <c r="G61" s="55"/>
      <c r="H61" s="55"/>
      <c r="I61" s="56" t="str">
        <f t="shared" si="4"/>
        <v/>
      </c>
      <c r="J61" s="57">
        <f t="shared" si="5"/>
        <v>0.15</v>
      </c>
      <c r="K61" s="56" t="str">
        <f t="shared" si="6"/>
        <v/>
      </c>
      <c r="L61" s="32" t="str">
        <f t="shared" si="7"/>
        <v>Pendiente</v>
      </c>
    </row>
    <row r="62" spans="2:12" ht="18" customHeight="1" x14ac:dyDescent="0.35">
      <c r="B62" s="52">
        <v>40</v>
      </c>
      <c r="C62" s="53">
        <v>2029</v>
      </c>
      <c r="D62" s="54" t="s">
        <v>230</v>
      </c>
      <c r="E62" s="55"/>
      <c r="F62" s="55"/>
      <c r="G62" s="55"/>
      <c r="H62" s="55"/>
      <c r="I62" s="56" t="str">
        <f t="shared" si="4"/>
        <v/>
      </c>
      <c r="J62" s="57">
        <f t="shared" si="5"/>
        <v>0.15</v>
      </c>
      <c r="K62" s="56" t="str">
        <f t="shared" si="6"/>
        <v/>
      </c>
      <c r="L62" s="32" t="str">
        <f t="shared" si="7"/>
        <v>Pendiente</v>
      </c>
    </row>
    <row r="63" spans="2:12" ht="18" customHeight="1" x14ac:dyDescent="0.35">
      <c r="B63" s="52">
        <v>41</v>
      </c>
      <c r="C63" s="53">
        <v>2029</v>
      </c>
      <c r="D63" s="54" t="s">
        <v>231</v>
      </c>
      <c r="E63" s="55"/>
      <c r="F63" s="55"/>
      <c r="G63" s="55"/>
      <c r="H63" s="55"/>
      <c r="I63" s="56" t="str">
        <f t="shared" si="4"/>
        <v/>
      </c>
      <c r="J63" s="57">
        <f t="shared" si="5"/>
        <v>0.15</v>
      </c>
      <c r="K63" s="56" t="str">
        <f t="shared" si="6"/>
        <v/>
      </c>
      <c r="L63" s="32" t="str">
        <f t="shared" si="7"/>
        <v>Pendiente</v>
      </c>
    </row>
    <row r="64" spans="2:12" ht="18" customHeight="1" x14ac:dyDescent="0.35">
      <c r="B64" s="52">
        <v>42</v>
      </c>
      <c r="C64" s="53">
        <v>2029</v>
      </c>
      <c r="D64" s="54" t="s">
        <v>232</v>
      </c>
      <c r="E64" s="55"/>
      <c r="F64" s="55"/>
      <c r="G64" s="55"/>
      <c r="H64" s="55"/>
      <c r="I64" s="56" t="str">
        <f t="shared" si="4"/>
        <v/>
      </c>
      <c r="J64" s="57">
        <f t="shared" si="5"/>
        <v>0.15</v>
      </c>
      <c r="K64" s="56" t="str">
        <f t="shared" si="6"/>
        <v/>
      </c>
      <c r="L64" s="32" t="str">
        <f t="shared" si="7"/>
        <v>Pendiente</v>
      </c>
    </row>
    <row r="65" spans="2:12" ht="18" customHeight="1" x14ac:dyDescent="0.35">
      <c r="B65" s="52">
        <v>43</v>
      </c>
      <c r="C65" s="53">
        <v>2029</v>
      </c>
      <c r="D65" s="54" t="s">
        <v>233</v>
      </c>
      <c r="E65" s="55"/>
      <c r="F65" s="55"/>
      <c r="G65" s="55"/>
      <c r="H65" s="55"/>
      <c r="I65" s="56" t="str">
        <f t="shared" si="4"/>
        <v/>
      </c>
      <c r="J65" s="57">
        <f t="shared" si="5"/>
        <v>0.15</v>
      </c>
      <c r="K65" s="56" t="str">
        <f t="shared" si="6"/>
        <v/>
      </c>
      <c r="L65" s="32" t="str">
        <f t="shared" si="7"/>
        <v>Pendiente</v>
      </c>
    </row>
    <row r="66" spans="2:12" ht="18" customHeight="1" x14ac:dyDescent="0.35">
      <c r="B66" s="52">
        <v>44</v>
      </c>
      <c r="C66" s="53">
        <v>2029</v>
      </c>
      <c r="D66" s="54" t="s">
        <v>234</v>
      </c>
      <c r="E66" s="55"/>
      <c r="F66" s="55"/>
      <c r="G66" s="55"/>
      <c r="H66" s="55"/>
      <c r="I66" s="56" t="str">
        <f t="shared" si="4"/>
        <v/>
      </c>
      <c r="J66" s="57">
        <f t="shared" si="5"/>
        <v>0.15</v>
      </c>
      <c r="K66" s="56" t="str">
        <f t="shared" si="6"/>
        <v/>
      </c>
      <c r="L66" s="32" t="str">
        <f t="shared" si="7"/>
        <v>Pendiente</v>
      </c>
    </row>
    <row r="67" spans="2:12" ht="18" customHeight="1" x14ac:dyDescent="0.35">
      <c r="B67" s="52">
        <v>45</v>
      </c>
      <c r="C67" s="53">
        <v>2029</v>
      </c>
      <c r="D67" s="54" t="s">
        <v>235</v>
      </c>
      <c r="E67" s="55"/>
      <c r="F67" s="55"/>
      <c r="G67" s="55"/>
      <c r="H67" s="55"/>
      <c r="I67" s="56" t="str">
        <f t="shared" si="4"/>
        <v/>
      </c>
      <c r="J67" s="57">
        <f t="shared" si="5"/>
        <v>0.15</v>
      </c>
      <c r="K67" s="56" t="str">
        <f t="shared" si="6"/>
        <v/>
      </c>
      <c r="L67" s="32" t="str">
        <f t="shared" si="7"/>
        <v>Pendiente</v>
      </c>
    </row>
    <row r="68" spans="2:12" ht="18" customHeight="1" x14ac:dyDescent="0.35">
      <c r="B68" s="52">
        <v>46</v>
      </c>
      <c r="C68" s="53">
        <v>2029</v>
      </c>
      <c r="D68" s="54" t="s">
        <v>236</v>
      </c>
      <c r="E68" s="55"/>
      <c r="F68" s="55"/>
      <c r="G68" s="55"/>
      <c r="H68" s="55"/>
      <c r="I68" s="56" t="str">
        <f t="shared" si="4"/>
        <v/>
      </c>
      <c r="J68" s="57">
        <f t="shared" si="5"/>
        <v>0.15</v>
      </c>
      <c r="K68" s="56" t="str">
        <f t="shared" si="6"/>
        <v/>
      </c>
      <c r="L68" s="32" t="str">
        <f t="shared" si="7"/>
        <v>Pendiente</v>
      </c>
    </row>
    <row r="69" spans="2:12" ht="18" customHeight="1" x14ac:dyDescent="0.35">
      <c r="B69" s="52">
        <v>47</v>
      </c>
      <c r="C69" s="53">
        <v>2029</v>
      </c>
      <c r="D69" s="54" t="s">
        <v>237</v>
      </c>
      <c r="E69" s="55"/>
      <c r="F69" s="55"/>
      <c r="G69" s="55"/>
      <c r="H69" s="55"/>
      <c r="I69" s="56" t="str">
        <f t="shared" si="4"/>
        <v/>
      </c>
      <c r="J69" s="57">
        <f t="shared" si="5"/>
        <v>0.15</v>
      </c>
      <c r="K69" s="56" t="str">
        <f t="shared" si="6"/>
        <v/>
      </c>
      <c r="L69" s="32" t="str">
        <f t="shared" si="7"/>
        <v>Pendiente</v>
      </c>
    </row>
    <row r="70" spans="2:12" ht="18" customHeight="1" x14ac:dyDescent="0.35">
      <c r="B70" s="52">
        <v>48</v>
      </c>
      <c r="C70" s="53">
        <v>2029</v>
      </c>
      <c r="D70" s="54" t="s">
        <v>238</v>
      </c>
      <c r="E70" s="55"/>
      <c r="F70" s="55"/>
      <c r="G70" s="55"/>
      <c r="H70" s="55"/>
      <c r="I70" s="56" t="str">
        <f t="shared" si="4"/>
        <v/>
      </c>
      <c r="J70" s="57">
        <f t="shared" si="5"/>
        <v>0.15</v>
      </c>
      <c r="K70" s="56" t="str">
        <f t="shared" si="6"/>
        <v/>
      </c>
      <c r="L70" s="32" t="str">
        <f t="shared" si="7"/>
        <v>Pendiente</v>
      </c>
    </row>
    <row r="71" spans="2:12" ht="18" customHeight="1" x14ac:dyDescent="0.35">
      <c r="B71" s="52">
        <v>49</v>
      </c>
      <c r="C71" s="53">
        <v>2030</v>
      </c>
      <c r="D71" s="54" t="s">
        <v>227</v>
      </c>
      <c r="E71" s="55"/>
      <c r="F71" s="55"/>
      <c r="G71" s="55"/>
      <c r="H71" s="55"/>
      <c r="I71" s="56" t="str">
        <f t="shared" si="4"/>
        <v/>
      </c>
      <c r="J71" s="57">
        <f t="shared" si="5"/>
        <v>0.15</v>
      </c>
      <c r="K71" s="56" t="str">
        <f t="shared" si="6"/>
        <v/>
      </c>
      <c r="L71" s="32" t="str">
        <f t="shared" si="7"/>
        <v>Pendiente</v>
      </c>
    </row>
    <row r="72" spans="2:12" ht="18" customHeight="1" x14ac:dyDescent="0.35">
      <c r="B72" s="52">
        <v>50</v>
      </c>
      <c r="C72" s="53">
        <v>2030</v>
      </c>
      <c r="D72" s="54" t="s">
        <v>228</v>
      </c>
      <c r="E72" s="55"/>
      <c r="F72" s="55"/>
      <c r="G72" s="55"/>
      <c r="H72" s="55"/>
      <c r="I72" s="56" t="str">
        <f t="shared" si="4"/>
        <v/>
      </c>
      <c r="J72" s="57">
        <f t="shared" si="5"/>
        <v>0.15</v>
      </c>
      <c r="K72" s="56" t="str">
        <f t="shared" si="6"/>
        <v/>
      </c>
      <c r="L72" s="32" t="str">
        <f t="shared" si="7"/>
        <v>Pendiente</v>
      </c>
    </row>
    <row r="73" spans="2:12" ht="18" customHeight="1" x14ac:dyDescent="0.35">
      <c r="B73" s="52">
        <v>51</v>
      </c>
      <c r="C73" s="53">
        <v>2030</v>
      </c>
      <c r="D73" s="54" t="s">
        <v>229</v>
      </c>
      <c r="E73" s="55"/>
      <c r="F73" s="55"/>
      <c r="G73" s="55"/>
      <c r="H73" s="55"/>
      <c r="I73" s="56" t="str">
        <f t="shared" si="4"/>
        <v/>
      </c>
      <c r="J73" s="57">
        <f t="shared" si="5"/>
        <v>0.15</v>
      </c>
      <c r="K73" s="56" t="str">
        <f t="shared" si="6"/>
        <v/>
      </c>
      <c r="L73" s="32" t="str">
        <f t="shared" si="7"/>
        <v>Pendiente</v>
      </c>
    </row>
    <row r="74" spans="2:12" ht="18" customHeight="1" x14ac:dyDescent="0.35">
      <c r="B74" s="52">
        <v>52</v>
      </c>
      <c r="C74" s="53">
        <v>2030</v>
      </c>
      <c r="D74" s="54" t="s">
        <v>230</v>
      </c>
      <c r="E74" s="55"/>
      <c r="F74" s="55"/>
      <c r="G74" s="55"/>
      <c r="H74" s="55"/>
      <c r="I74" s="56" t="str">
        <f t="shared" si="4"/>
        <v/>
      </c>
      <c r="J74" s="57">
        <f t="shared" si="5"/>
        <v>0.15</v>
      </c>
      <c r="K74" s="56" t="str">
        <f t="shared" si="6"/>
        <v/>
      </c>
      <c r="L74" s="32" t="str">
        <f t="shared" si="7"/>
        <v>Pendiente</v>
      </c>
    </row>
    <row r="75" spans="2:12" ht="18" customHeight="1" x14ac:dyDescent="0.35">
      <c r="B75" s="52">
        <v>53</v>
      </c>
      <c r="C75" s="53">
        <v>2030</v>
      </c>
      <c r="D75" s="54" t="s">
        <v>231</v>
      </c>
      <c r="E75" s="55"/>
      <c r="F75" s="55"/>
      <c r="G75" s="55"/>
      <c r="H75" s="55"/>
      <c r="I75" s="56" t="str">
        <f t="shared" si="4"/>
        <v/>
      </c>
      <c r="J75" s="57">
        <f t="shared" si="5"/>
        <v>0.15</v>
      </c>
      <c r="K75" s="56" t="str">
        <f t="shared" si="6"/>
        <v/>
      </c>
      <c r="L75" s="32" t="str">
        <f t="shared" si="7"/>
        <v>Pendiente</v>
      </c>
    </row>
    <row r="76" spans="2:12" ht="18" customHeight="1" x14ac:dyDescent="0.35">
      <c r="B76" s="52">
        <v>54</v>
      </c>
      <c r="C76" s="53">
        <v>2030</v>
      </c>
      <c r="D76" s="54" t="s">
        <v>232</v>
      </c>
      <c r="E76" s="55"/>
      <c r="F76" s="55"/>
      <c r="G76" s="55"/>
      <c r="H76" s="55"/>
      <c r="I76" s="56" t="str">
        <f t="shared" si="4"/>
        <v/>
      </c>
      <c r="J76" s="57">
        <f t="shared" si="5"/>
        <v>0.15</v>
      </c>
      <c r="K76" s="56" t="str">
        <f t="shared" si="6"/>
        <v/>
      </c>
      <c r="L76" s="32" t="str">
        <f t="shared" si="7"/>
        <v>Pendiente</v>
      </c>
    </row>
    <row r="77" spans="2:12" ht="18" customHeight="1" x14ac:dyDescent="0.35">
      <c r="B77" s="52">
        <v>55</v>
      </c>
      <c r="C77" s="53">
        <v>2030</v>
      </c>
      <c r="D77" s="54" t="s">
        <v>233</v>
      </c>
      <c r="E77" s="55"/>
      <c r="F77" s="55"/>
      <c r="G77" s="55"/>
      <c r="H77" s="55"/>
      <c r="I77" s="56" t="str">
        <f t="shared" si="4"/>
        <v/>
      </c>
      <c r="J77" s="57">
        <f t="shared" si="5"/>
        <v>0.15</v>
      </c>
      <c r="K77" s="56" t="str">
        <f t="shared" si="6"/>
        <v/>
      </c>
      <c r="L77" s="32" t="str">
        <f t="shared" si="7"/>
        <v>Pendiente</v>
      </c>
    </row>
    <row r="78" spans="2:12" ht="18" customHeight="1" x14ac:dyDescent="0.35">
      <c r="B78" s="52">
        <v>56</v>
      </c>
      <c r="C78" s="53">
        <v>2030</v>
      </c>
      <c r="D78" s="54" t="s">
        <v>234</v>
      </c>
      <c r="E78" s="55"/>
      <c r="F78" s="55"/>
      <c r="G78" s="55"/>
      <c r="H78" s="55"/>
      <c r="I78" s="56" t="str">
        <f t="shared" si="4"/>
        <v/>
      </c>
      <c r="J78" s="57">
        <f t="shared" si="5"/>
        <v>0.15</v>
      </c>
      <c r="K78" s="56" t="str">
        <f t="shared" si="6"/>
        <v/>
      </c>
      <c r="L78" s="32" t="str">
        <f t="shared" si="7"/>
        <v>Pendiente</v>
      </c>
    </row>
    <row r="79" spans="2:12" ht="18" customHeight="1" x14ac:dyDescent="0.35">
      <c r="B79" s="52">
        <v>57</v>
      </c>
      <c r="C79" s="53">
        <v>2030</v>
      </c>
      <c r="D79" s="54" t="s">
        <v>235</v>
      </c>
      <c r="E79" s="55"/>
      <c r="F79" s="55"/>
      <c r="G79" s="55"/>
      <c r="H79" s="55"/>
      <c r="I79" s="56" t="str">
        <f t="shared" si="4"/>
        <v/>
      </c>
      <c r="J79" s="57">
        <f t="shared" si="5"/>
        <v>0.15</v>
      </c>
      <c r="K79" s="56" t="str">
        <f t="shared" si="6"/>
        <v/>
      </c>
      <c r="L79" s="32" t="str">
        <f t="shared" si="7"/>
        <v>Pendiente</v>
      </c>
    </row>
    <row r="80" spans="2:12" ht="18" customHeight="1" x14ac:dyDescent="0.35">
      <c r="B80" s="52">
        <v>58</v>
      </c>
      <c r="C80" s="53">
        <v>2030</v>
      </c>
      <c r="D80" s="54" t="s">
        <v>236</v>
      </c>
      <c r="E80" s="55"/>
      <c r="F80" s="55"/>
      <c r="G80" s="55"/>
      <c r="H80" s="55"/>
      <c r="I80" s="56" t="str">
        <f t="shared" si="4"/>
        <v/>
      </c>
      <c r="J80" s="57">
        <f t="shared" si="5"/>
        <v>0.15</v>
      </c>
      <c r="K80" s="56" t="str">
        <f t="shared" si="6"/>
        <v/>
      </c>
      <c r="L80" s="32" t="str">
        <f t="shared" si="7"/>
        <v>Pendiente</v>
      </c>
    </row>
    <row r="81" spans="2:12" ht="18" customHeight="1" x14ac:dyDescent="0.35">
      <c r="B81" s="52">
        <v>59</v>
      </c>
      <c r="C81" s="53">
        <v>2030</v>
      </c>
      <c r="D81" s="54" t="s">
        <v>237</v>
      </c>
      <c r="E81" s="55"/>
      <c r="F81" s="55"/>
      <c r="G81" s="55"/>
      <c r="H81" s="55"/>
      <c r="I81" s="56" t="str">
        <f t="shared" si="4"/>
        <v/>
      </c>
      <c r="J81" s="57">
        <f t="shared" si="5"/>
        <v>0.15</v>
      </c>
      <c r="K81" s="56" t="str">
        <f t="shared" si="6"/>
        <v/>
      </c>
      <c r="L81" s="32" t="str">
        <f t="shared" si="7"/>
        <v>Pendiente</v>
      </c>
    </row>
    <row r="82" spans="2:12" ht="18" customHeight="1" x14ac:dyDescent="0.35">
      <c r="B82" s="52">
        <v>60</v>
      </c>
      <c r="C82" s="53">
        <v>2030</v>
      </c>
      <c r="D82" s="54" t="s">
        <v>238</v>
      </c>
      <c r="E82" s="55"/>
      <c r="F82" s="55"/>
      <c r="G82" s="55"/>
      <c r="H82" s="55"/>
      <c r="I82" s="56" t="str">
        <f t="shared" si="4"/>
        <v/>
      </c>
      <c r="J82" s="57">
        <f t="shared" si="5"/>
        <v>0.15</v>
      </c>
      <c r="K82" s="56" t="str">
        <f t="shared" si="6"/>
        <v/>
      </c>
      <c r="L82" s="32" t="str">
        <f t="shared" si="7"/>
        <v>Pendiente</v>
      </c>
    </row>
  </sheetData>
  <mergeCells count="29">
    <mergeCell ref="B21:L21"/>
    <mergeCell ref="B2:L2"/>
    <mergeCell ref="D9:L9"/>
    <mergeCell ref="E13:L13"/>
    <mergeCell ref="B8:C8"/>
    <mergeCell ref="D8:L8"/>
    <mergeCell ref="D5:L5"/>
    <mergeCell ref="E15:L15"/>
    <mergeCell ref="B10:C10"/>
    <mergeCell ref="B9:C9"/>
    <mergeCell ref="C17:D17"/>
    <mergeCell ref="D10:L10"/>
    <mergeCell ref="B6:C6"/>
    <mergeCell ref="B5:C5"/>
    <mergeCell ref="E16:L16"/>
    <mergeCell ref="B20:L20"/>
    <mergeCell ref="E18:L18"/>
    <mergeCell ref="B7:C7"/>
    <mergeCell ref="C15:D15"/>
    <mergeCell ref="B3:L3"/>
    <mergeCell ref="C14:D14"/>
    <mergeCell ref="E14:L14"/>
    <mergeCell ref="D7:L7"/>
    <mergeCell ref="E17:L17"/>
    <mergeCell ref="B12:L12"/>
    <mergeCell ref="C16:D16"/>
    <mergeCell ref="C13:D13"/>
    <mergeCell ref="C18:D18"/>
    <mergeCell ref="D6:L6"/>
  </mergeCells>
  <conditionalFormatting sqref="K23:K82">
    <cfRule type="expression" dxfId="97" priority="2">
      <formula>AND(ISNUMBER(K23),K23&gt;=0.95)</formula>
    </cfRule>
    <cfRule type="expression" dxfId="96" priority="3">
      <formula>AND(ISNUMBER(K23),K23&gt;=0.8,K23&lt;0.95)</formula>
    </cfRule>
    <cfRule type="expression" dxfId="95" priority="4">
      <formula>AND(ISNUMBER(K23),K23&lt;0.8)</formula>
    </cfRule>
  </conditionalFormatting>
  <conditionalFormatting sqref="L23:L82">
    <cfRule type="expression" dxfId="94" priority="5">
      <formula>L23="Cumple"</formula>
    </cfRule>
    <cfRule type="expression" dxfId="93" priority="6">
      <formula>L23="En riesgo"</formula>
    </cfRule>
    <cfRule type="expression" dxfId="92" priority="7">
      <formula>L23="Crítico"</formula>
    </cfRule>
    <cfRule type="expression" dxfId="91" priority="8">
      <formula>L23="Pendiente"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6FB2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97" t="s">
        <v>272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94" t="s">
        <v>261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168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169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160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VLOOKUP("IND-13",Parámetros!$B$6:$F$30,5,FALSE())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95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9" t="s">
        <v>273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9" t="s">
        <v>273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9" t="s">
        <v>273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9" t="s">
        <v>273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9" t="s">
        <v>273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8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274</v>
      </c>
      <c r="F22" s="21" t="s">
        <v>275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55"/>
      <c r="F23" s="55"/>
      <c r="G23" s="51" t="str">
        <f t="shared" ref="G23:G54" si="0">IFERROR(IF(F23=0,"",E23/F23),"")</f>
        <v/>
      </c>
      <c r="H23" s="52" t="str">
        <f t="shared" ref="H23:H54" si="1">IFERROR(VLOOKUP(C23,$B$14:$C$18,2,FALSE()),"")</f>
        <v>&gt; IPC</v>
      </c>
      <c r="I23" s="61" t="str">
        <f t="shared" ref="I23:I54" si="2">IF(G23="","","N/A")</f>
        <v/>
      </c>
      <c r="J23" s="62" t="str">
        <f t="shared" ref="J23:J54" si="3">IF(G23="","Pendiente","Manual")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55"/>
      <c r="F24" s="55"/>
      <c r="G24" s="51" t="str">
        <f t="shared" si="0"/>
        <v/>
      </c>
      <c r="H24" s="52" t="str">
        <f t="shared" si="1"/>
        <v>&gt; IPC</v>
      </c>
      <c r="I24" s="61" t="str">
        <f t="shared" si="2"/>
        <v/>
      </c>
      <c r="J24" s="62" t="str">
        <f t="shared" si="3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55"/>
      <c r="F25" s="55"/>
      <c r="G25" s="51" t="str">
        <f t="shared" si="0"/>
        <v/>
      </c>
      <c r="H25" s="52" t="str">
        <f t="shared" si="1"/>
        <v>&gt; IPC</v>
      </c>
      <c r="I25" s="61" t="str">
        <f t="shared" si="2"/>
        <v/>
      </c>
      <c r="J25" s="62" t="str">
        <f t="shared" si="3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55"/>
      <c r="F26" s="55"/>
      <c r="G26" s="51" t="str">
        <f t="shared" si="0"/>
        <v/>
      </c>
      <c r="H26" s="52" t="str">
        <f t="shared" si="1"/>
        <v>&gt; IPC</v>
      </c>
      <c r="I26" s="61" t="str">
        <f t="shared" si="2"/>
        <v/>
      </c>
      <c r="J26" s="62" t="str">
        <f t="shared" si="3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55"/>
      <c r="F27" s="55"/>
      <c r="G27" s="51" t="str">
        <f t="shared" si="0"/>
        <v/>
      </c>
      <c r="H27" s="52" t="str">
        <f t="shared" si="1"/>
        <v>&gt; IPC</v>
      </c>
      <c r="I27" s="61" t="str">
        <f t="shared" si="2"/>
        <v/>
      </c>
      <c r="J27" s="62" t="str">
        <f t="shared" si="3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55"/>
      <c r="F28" s="55"/>
      <c r="G28" s="51" t="str">
        <f t="shared" si="0"/>
        <v/>
      </c>
      <c r="H28" s="52" t="str">
        <f t="shared" si="1"/>
        <v>&gt; IPC</v>
      </c>
      <c r="I28" s="61" t="str">
        <f t="shared" si="2"/>
        <v/>
      </c>
      <c r="J28" s="62" t="str">
        <f t="shared" si="3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55"/>
      <c r="F29" s="55"/>
      <c r="G29" s="51" t="str">
        <f t="shared" si="0"/>
        <v/>
      </c>
      <c r="H29" s="52" t="str">
        <f t="shared" si="1"/>
        <v>&gt; IPC</v>
      </c>
      <c r="I29" s="61" t="str">
        <f t="shared" si="2"/>
        <v/>
      </c>
      <c r="J29" s="62" t="str">
        <f t="shared" si="3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55"/>
      <c r="F30" s="55"/>
      <c r="G30" s="51" t="str">
        <f t="shared" si="0"/>
        <v/>
      </c>
      <c r="H30" s="52" t="str">
        <f t="shared" si="1"/>
        <v>&gt; IPC</v>
      </c>
      <c r="I30" s="61" t="str">
        <f t="shared" si="2"/>
        <v/>
      </c>
      <c r="J30" s="62" t="str">
        <f t="shared" si="3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55"/>
      <c r="F31" s="55"/>
      <c r="G31" s="51" t="str">
        <f t="shared" si="0"/>
        <v/>
      </c>
      <c r="H31" s="52" t="str">
        <f t="shared" si="1"/>
        <v>&gt; IPC</v>
      </c>
      <c r="I31" s="61" t="str">
        <f t="shared" si="2"/>
        <v/>
      </c>
      <c r="J31" s="62" t="str">
        <f t="shared" si="3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55"/>
      <c r="F32" s="55"/>
      <c r="G32" s="51" t="str">
        <f t="shared" si="0"/>
        <v/>
      </c>
      <c r="H32" s="52" t="str">
        <f t="shared" si="1"/>
        <v>&gt; IPC</v>
      </c>
      <c r="I32" s="61" t="str">
        <f t="shared" si="2"/>
        <v/>
      </c>
      <c r="J32" s="62" t="str">
        <f t="shared" si="3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55"/>
      <c r="F33" s="55"/>
      <c r="G33" s="51" t="str">
        <f t="shared" si="0"/>
        <v/>
      </c>
      <c r="H33" s="52" t="str">
        <f t="shared" si="1"/>
        <v>&gt; IPC</v>
      </c>
      <c r="I33" s="61" t="str">
        <f t="shared" si="2"/>
        <v/>
      </c>
      <c r="J33" s="62" t="str">
        <f t="shared" si="3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55"/>
      <c r="F34" s="55"/>
      <c r="G34" s="51" t="str">
        <f t="shared" si="0"/>
        <v/>
      </c>
      <c r="H34" s="52" t="str">
        <f t="shared" si="1"/>
        <v>&gt; IPC</v>
      </c>
      <c r="I34" s="61" t="str">
        <f t="shared" si="2"/>
        <v/>
      </c>
      <c r="J34" s="62" t="str">
        <f t="shared" si="3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55"/>
      <c r="F35" s="55"/>
      <c r="G35" s="51" t="str">
        <f t="shared" si="0"/>
        <v/>
      </c>
      <c r="H35" s="52" t="str">
        <f t="shared" si="1"/>
        <v>&gt; IPC</v>
      </c>
      <c r="I35" s="61" t="str">
        <f t="shared" si="2"/>
        <v/>
      </c>
      <c r="J35" s="62" t="str">
        <f t="shared" si="3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55"/>
      <c r="F36" s="55"/>
      <c r="G36" s="51" t="str">
        <f t="shared" si="0"/>
        <v/>
      </c>
      <c r="H36" s="52" t="str">
        <f t="shared" si="1"/>
        <v>&gt; IPC</v>
      </c>
      <c r="I36" s="61" t="str">
        <f t="shared" si="2"/>
        <v/>
      </c>
      <c r="J36" s="62" t="str">
        <f t="shared" si="3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55"/>
      <c r="F37" s="55"/>
      <c r="G37" s="51" t="str">
        <f t="shared" si="0"/>
        <v/>
      </c>
      <c r="H37" s="52" t="str">
        <f t="shared" si="1"/>
        <v>&gt; IPC</v>
      </c>
      <c r="I37" s="61" t="str">
        <f t="shared" si="2"/>
        <v/>
      </c>
      <c r="J37" s="62" t="str">
        <f t="shared" si="3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55"/>
      <c r="F38" s="55"/>
      <c r="G38" s="51" t="str">
        <f t="shared" si="0"/>
        <v/>
      </c>
      <c r="H38" s="52" t="str">
        <f t="shared" si="1"/>
        <v>&gt; IPC</v>
      </c>
      <c r="I38" s="61" t="str">
        <f t="shared" si="2"/>
        <v/>
      </c>
      <c r="J38" s="6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55"/>
      <c r="F39" s="55"/>
      <c r="G39" s="51" t="str">
        <f t="shared" si="0"/>
        <v/>
      </c>
      <c r="H39" s="52" t="str">
        <f t="shared" si="1"/>
        <v>&gt; IPC</v>
      </c>
      <c r="I39" s="61" t="str">
        <f t="shared" si="2"/>
        <v/>
      </c>
      <c r="J39" s="6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55"/>
      <c r="F40" s="55"/>
      <c r="G40" s="51" t="str">
        <f t="shared" si="0"/>
        <v/>
      </c>
      <c r="H40" s="52" t="str">
        <f t="shared" si="1"/>
        <v>&gt; IPC</v>
      </c>
      <c r="I40" s="61" t="str">
        <f t="shared" si="2"/>
        <v/>
      </c>
      <c r="J40" s="6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55"/>
      <c r="F41" s="55"/>
      <c r="G41" s="51" t="str">
        <f t="shared" si="0"/>
        <v/>
      </c>
      <c r="H41" s="52" t="str">
        <f t="shared" si="1"/>
        <v>&gt; IPC</v>
      </c>
      <c r="I41" s="61" t="str">
        <f t="shared" si="2"/>
        <v/>
      </c>
      <c r="J41" s="6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55"/>
      <c r="F42" s="55"/>
      <c r="G42" s="51" t="str">
        <f t="shared" si="0"/>
        <v/>
      </c>
      <c r="H42" s="52" t="str">
        <f t="shared" si="1"/>
        <v>&gt; IPC</v>
      </c>
      <c r="I42" s="61" t="str">
        <f t="shared" si="2"/>
        <v/>
      </c>
      <c r="J42" s="6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55"/>
      <c r="F43" s="55"/>
      <c r="G43" s="51" t="str">
        <f t="shared" si="0"/>
        <v/>
      </c>
      <c r="H43" s="52" t="str">
        <f t="shared" si="1"/>
        <v>&gt; IPC</v>
      </c>
      <c r="I43" s="61" t="str">
        <f t="shared" si="2"/>
        <v/>
      </c>
      <c r="J43" s="6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55"/>
      <c r="F44" s="55"/>
      <c r="G44" s="51" t="str">
        <f t="shared" si="0"/>
        <v/>
      </c>
      <c r="H44" s="52" t="str">
        <f t="shared" si="1"/>
        <v>&gt; IPC</v>
      </c>
      <c r="I44" s="61" t="str">
        <f t="shared" si="2"/>
        <v/>
      </c>
      <c r="J44" s="6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55"/>
      <c r="F45" s="55"/>
      <c r="G45" s="51" t="str">
        <f t="shared" si="0"/>
        <v/>
      </c>
      <c r="H45" s="52" t="str">
        <f t="shared" si="1"/>
        <v>&gt; IPC</v>
      </c>
      <c r="I45" s="61" t="str">
        <f t="shared" si="2"/>
        <v/>
      </c>
      <c r="J45" s="6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55"/>
      <c r="F46" s="55"/>
      <c r="G46" s="51" t="str">
        <f t="shared" si="0"/>
        <v/>
      </c>
      <c r="H46" s="52" t="str">
        <f t="shared" si="1"/>
        <v>&gt; IPC</v>
      </c>
      <c r="I46" s="61" t="str">
        <f t="shared" si="2"/>
        <v/>
      </c>
      <c r="J46" s="6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55"/>
      <c r="F47" s="55"/>
      <c r="G47" s="51" t="str">
        <f t="shared" si="0"/>
        <v/>
      </c>
      <c r="H47" s="52" t="str">
        <f t="shared" si="1"/>
        <v>&gt; IPC</v>
      </c>
      <c r="I47" s="61" t="str">
        <f t="shared" si="2"/>
        <v/>
      </c>
      <c r="J47" s="6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55"/>
      <c r="F48" s="55"/>
      <c r="G48" s="51" t="str">
        <f t="shared" si="0"/>
        <v/>
      </c>
      <c r="H48" s="52" t="str">
        <f t="shared" si="1"/>
        <v>&gt; IPC</v>
      </c>
      <c r="I48" s="61" t="str">
        <f t="shared" si="2"/>
        <v/>
      </c>
      <c r="J48" s="6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55"/>
      <c r="F49" s="55"/>
      <c r="G49" s="51" t="str">
        <f t="shared" si="0"/>
        <v/>
      </c>
      <c r="H49" s="52" t="str">
        <f t="shared" si="1"/>
        <v>&gt; IPC</v>
      </c>
      <c r="I49" s="61" t="str">
        <f t="shared" si="2"/>
        <v/>
      </c>
      <c r="J49" s="6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55"/>
      <c r="F50" s="55"/>
      <c r="G50" s="51" t="str">
        <f t="shared" si="0"/>
        <v/>
      </c>
      <c r="H50" s="52" t="str">
        <f t="shared" si="1"/>
        <v>&gt; IPC</v>
      </c>
      <c r="I50" s="61" t="str">
        <f t="shared" si="2"/>
        <v/>
      </c>
      <c r="J50" s="6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55"/>
      <c r="F51" s="55"/>
      <c r="G51" s="51" t="str">
        <f t="shared" si="0"/>
        <v/>
      </c>
      <c r="H51" s="52" t="str">
        <f t="shared" si="1"/>
        <v>&gt; IPC</v>
      </c>
      <c r="I51" s="61" t="str">
        <f t="shared" si="2"/>
        <v/>
      </c>
      <c r="J51" s="6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55"/>
      <c r="F52" s="55"/>
      <c r="G52" s="51" t="str">
        <f t="shared" si="0"/>
        <v/>
      </c>
      <c r="H52" s="52" t="str">
        <f t="shared" si="1"/>
        <v>&gt; IPC</v>
      </c>
      <c r="I52" s="61" t="str">
        <f t="shared" si="2"/>
        <v/>
      </c>
      <c r="J52" s="6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55"/>
      <c r="F53" s="55"/>
      <c r="G53" s="51" t="str">
        <f t="shared" si="0"/>
        <v/>
      </c>
      <c r="H53" s="52" t="str">
        <f t="shared" si="1"/>
        <v>&gt; IPC</v>
      </c>
      <c r="I53" s="61" t="str">
        <f t="shared" si="2"/>
        <v/>
      </c>
      <c r="J53" s="6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55"/>
      <c r="F54" s="55"/>
      <c r="G54" s="51" t="str">
        <f t="shared" si="0"/>
        <v/>
      </c>
      <c r="H54" s="52" t="str">
        <f t="shared" si="1"/>
        <v>&gt; IPC</v>
      </c>
      <c r="I54" s="61" t="str">
        <f t="shared" si="2"/>
        <v/>
      </c>
      <c r="J54" s="6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55"/>
      <c r="F55" s="55"/>
      <c r="G55" s="51" t="str">
        <f t="shared" ref="G55:G86" si="4">IFERROR(IF(F55=0,"",E55/F55),"")</f>
        <v/>
      </c>
      <c r="H55" s="52" t="str">
        <f t="shared" ref="H55:H82" si="5">IFERROR(VLOOKUP(C55,$B$14:$C$18,2,FALSE()),"")</f>
        <v>&gt; IPC</v>
      </c>
      <c r="I55" s="61" t="str">
        <f t="shared" ref="I55:I82" si="6">IF(G55="","","N/A")</f>
        <v/>
      </c>
      <c r="J55" s="62" t="str">
        <f t="shared" ref="J55:J82" si="7">IF(G55="","Pendiente","Manual")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55"/>
      <c r="F56" s="55"/>
      <c r="G56" s="51" t="str">
        <f t="shared" si="4"/>
        <v/>
      </c>
      <c r="H56" s="52" t="str">
        <f t="shared" si="5"/>
        <v>&gt; IPC</v>
      </c>
      <c r="I56" s="61" t="str">
        <f t="shared" si="6"/>
        <v/>
      </c>
      <c r="J56" s="6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55"/>
      <c r="F57" s="55"/>
      <c r="G57" s="51" t="str">
        <f t="shared" si="4"/>
        <v/>
      </c>
      <c r="H57" s="52" t="str">
        <f t="shared" si="5"/>
        <v>&gt; IPC</v>
      </c>
      <c r="I57" s="61" t="str">
        <f t="shared" si="6"/>
        <v/>
      </c>
      <c r="J57" s="6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55"/>
      <c r="F58" s="55"/>
      <c r="G58" s="51" t="str">
        <f t="shared" si="4"/>
        <v/>
      </c>
      <c r="H58" s="52" t="str">
        <f t="shared" si="5"/>
        <v>&gt; IPC</v>
      </c>
      <c r="I58" s="61" t="str">
        <f t="shared" si="6"/>
        <v/>
      </c>
      <c r="J58" s="6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55"/>
      <c r="F59" s="55"/>
      <c r="G59" s="51" t="str">
        <f t="shared" si="4"/>
        <v/>
      </c>
      <c r="H59" s="52" t="str">
        <f t="shared" si="5"/>
        <v>&gt; IPC</v>
      </c>
      <c r="I59" s="61" t="str">
        <f t="shared" si="6"/>
        <v/>
      </c>
      <c r="J59" s="6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55"/>
      <c r="F60" s="55"/>
      <c r="G60" s="51" t="str">
        <f t="shared" si="4"/>
        <v/>
      </c>
      <c r="H60" s="52" t="str">
        <f t="shared" si="5"/>
        <v>&gt; IPC</v>
      </c>
      <c r="I60" s="61" t="str">
        <f t="shared" si="6"/>
        <v/>
      </c>
      <c r="J60" s="6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55"/>
      <c r="F61" s="55"/>
      <c r="G61" s="51" t="str">
        <f t="shared" si="4"/>
        <v/>
      </c>
      <c r="H61" s="52" t="str">
        <f t="shared" si="5"/>
        <v>&gt; IPC</v>
      </c>
      <c r="I61" s="61" t="str">
        <f t="shared" si="6"/>
        <v/>
      </c>
      <c r="J61" s="6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55"/>
      <c r="F62" s="55"/>
      <c r="G62" s="51" t="str">
        <f t="shared" si="4"/>
        <v/>
      </c>
      <c r="H62" s="52" t="str">
        <f t="shared" si="5"/>
        <v>&gt; IPC</v>
      </c>
      <c r="I62" s="61" t="str">
        <f t="shared" si="6"/>
        <v/>
      </c>
      <c r="J62" s="6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55"/>
      <c r="F63" s="55"/>
      <c r="G63" s="51" t="str">
        <f t="shared" si="4"/>
        <v/>
      </c>
      <c r="H63" s="52" t="str">
        <f t="shared" si="5"/>
        <v>&gt; IPC</v>
      </c>
      <c r="I63" s="61" t="str">
        <f t="shared" si="6"/>
        <v/>
      </c>
      <c r="J63" s="6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55"/>
      <c r="F64" s="55"/>
      <c r="G64" s="51" t="str">
        <f t="shared" si="4"/>
        <v/>
      </c>
      <c r="H64" s="52" t="str">
        <f t="shared" si="5"/>
        <v>&gt; IPC</v>
      </c>
      <c r="I64" s="61" t="str">
        <f t="shared" si="6"/>
        <v/>
      </c>
      <c r="J64" s="6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55"/>
      <c r="F65" s="55"/>
      <c r="G65" s="51" t="str">
        <f t="shared" si="4"/>
        <v/>
      </c>
      <c r="H65" s="52" t="str">
        <f t="shared" si="5"/>
        <v>&gt; IPC</v>
      </c>
      <c r="I65" s="61" t="str">
        <f t="shared" si="6"/>
        <v/>
      </c>
      <c r="J65" s="6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55"/>
      <c r="F66" s="55"/>
      <c r="G66" s="51" t="str">
        <f t="shared" si="4"/>
        <v/>
      </c>
      <c r="H66" s="52" t="str">
        <f t="shared" si="5"/>
        <v>&gt; IPC</v>
      </c>
      <c r="I66" s="61" t="str">
        <f t="shared" si="6"/>
        <v/>
      </c>
      <c r="J66" s="6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55"/>
      <c r="F67" s="55"/>
      <c r="G67" s="51" t="str">
        <f t="shared" si="4"/>
        <v/>
      </c>
      <c r="H67" s="52" t="str">
        <f t="shared" si="5"/>
        <v>&gt; IPC</v>
      </c>
      <c r="I67" s="61" t="str">
        <f t="shared" si="6"/>
        <v/>
      </c>
      <c r="J67" s="6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55"/>
      <c r="F68" s="55"/>
      <c r="G68" s="51" t="str">
        <f t="shared" si="4"/>
        <v/>
      </c>
      <c r="H68" s="52" t="str">
        <f t="shared" si="5"/>
        <v>&gt; IPC</v>
      </c>
      <c r="I68" s="61" t="str">
        <f t="shared" si="6"/>
        <v/>
      </c>
      <c r="J68" s="6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55"/>
      <c r="F69" s="55"/>
      <c r="G69" s="51" t="str">
        <f t="shared" si="4"/>
        <v/>
      </c>
      <c r="H69" s="52" t="str">
        <f t="shared" si="5"/>
        <v>&gt; IPC</v>
      </c>
      <c r="I69" s="61" t="str">
        <f t="shared" si="6"/>
        <v/>
      </c>
      <c r="J69" s="6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55"/>
      <c r="F70" s="55"/>
      <c r="G70" s="51" t="str">
        <f t="shared" si="4"/>
        <v/>
      </c>
      <c r="H70" s="52" t="str">
        <f t="shared" si="5"/>
        <v>&gt; IPC</v>
      </c>
      <c r="I70" s="61" t="str">
        <f t="shared" si="6"/>
        <v/>
      </c>
      <c r="J70" s="6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55"/>
      <c r="F71" s="55"/>
      <c r="G71" s="51" t="str">
        <f t="shared" si="4"/>
        <v/>
      </c>
      <c r="H71" s="52" t="str">
        <f t="shared" si="5"/>
        <v>&gt; IPC</v>
      </c>
      <c r="I71" s="61" t="str">
        <f t="shared" si="6"/>
        <v/>
      </c>
      <c r="J71" s="6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55"/>
      <c r="F72" s="55"/>
      <c r="G72" s="51" t="str">
        <f t="shared" si="4"/>
        <v/>
      </c>
      <c r="H72" s="52" t="str">
        <f t="shared" si="5"/>
        <v>&gt; IPC</v>
      </c>
      <c r="I72" s="61" t="str">
        <f t="shared" si="6"/>
        <v/>
      </c>
      <c r="J72" s="6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55"/>
      <c r="F73" s="55"/>
      <c r="G73" s="51" t="str">
        <f t="shared" si="4"/>
        <v/>
      </c>
      <c r="H73" s="52" t="str">
        <f t="shared" si="5"/>
        <v>&gt; IPC</v>
      </c>
      <c r="I73" s="61" t="str">
        <f t="shared" si="6"/>
        <v/>
      </c>
      <c r="J73" s="6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55"/>
      <c r="F74" s="55"/>
      <c r="G74" s="51" t="str">
        <f t="shared" si="4"/>
        <v/>
      </c>
      <c r="H74" s="52" t="str">
        <f t="shared" si="5"/>
        <v>&gt; IPC</v>
      </c>
      <c r="I74" s="61" t="str">
        <f t="shared" si="6"/>
        <v/>
      </c>
      <c r="J74" s="6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55"/>
      <c r="F75" s="55"/>
      <c r="G75" s="51" t="str">
        <f t="shared" si="4"/>
        <v/>
      </c>
      <c r="H75" s="52" t="str">
        <f t="shared" si="5"/>
        <v>&gt; IPC</v>
      </c>
      <c r="I75" s="61" t="str">
        <f t="shared" si="6"/>
        <v/>
      </c>
      <c r="J75" s="6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55"/>
      <c r="F76" s="55"/>
      <c r="G76" s="51" t="str">
        <f t="shared" si="4"/>
        <v/>
      </c>
      <c r="H76" s="52" t="str">
        <f t="shared" si="5"/>
        <v>&gt; IPC</v>
      </c>
      <c r="I76" s="61" t="str">
        <f t="shared" si="6"/>
        <v/>
      </c>
      <c r="J76" s="6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55"/>
      <c r="F77" s="55"/>
      <c r="G77" s="51" t="str">
        <f t="shared" si="4"/>
        <v/>
      </c>
      <c r="H77" s="52" t="str">
        <f t="shared" si="5"/>
        <v>&gt; IPC</v>
      </c>
      <c r="I77" s="61" t="str">
        <f t="shared" si="6"/>
        <v/>
      </c>
      <c r="J77" s="6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55"/>
      <c r="F78" s="55"/>
      <c r="G78" s="51" t="str">
        <f t="shared" si="4"/>
        <v/>
      </c>
      <c r="H78" s="52" t="str">
        <f t="shared" si="5"/>
        <v>&gt; IPC</v>
      </c>
      <c r="I78" s="61" t="str">
        <f t="shared" si="6"/>
        <v/>
      </c>
      <c r="J78" s="6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55"/>
      <c r="F79" s="55"/>
      <c r="G79" s="51" t="str">
        <f t="shared" si="4"/>
        <v/>
      </c>
      <c r="H79" s="52" t="str">
        <f t="shared" si="5"/>
        <v>&gt; IPC</v>
      </c>
      <c r="I79" s="61" t="str">
        <f t="shared" si="6"/>
        <v/>
      </c>
      <c r="J79" s="6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55"/>
      <c r="F80" s="55"/>
      <c r="G80" s="51" t="str">
        <f t="shared" si="4"/>
        <v/>
      </c>
      <c r="H80" s="52" t="str">
        <f t="shared" si="5"/>
        <v>&gt; IPC</v>
      </c>
      <c r="I80" s="61" t="str">
        <f t="shared" si="6"/>
        <v/>
      </c>
      <c r="J80" s="6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55"/>
      <c r="F81" s="55"/>
      <c r="G81" s="51" t="str">
        <f t="shared" si="4"/>
        <v/>
      </c>
      <c r="H81" s="52" t="str">
        <f t="shared" si="5"/>
        <v>&gt; IPC</v>
      </c>
      <c r="I81" s="61" t="str">
        <f t="shared" si="6"/>
        <v/>
      </c>
      <c r="J81" s="6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55"/>
      <c r="F82" s="55"/>
      <c r="G82" s="51" t="str">
        <f t="shared" si="4"/>
        <v/>
      </c>
      <c r="H82" s="52" t="str">
        <f t="shared" si="5"/>
        <v>&gt; IPC</v>
      </c>
      <c r="I82" s="61" t="str">
        <f t="shared" si="6"/>
        <v/>
      </c>
      <c r="J82" s="6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90" priority="2">
      <formula>AND(ISNUMBER(I23),I23&gt;=0.95)</formula>
    </cfRule>
    <cfRule type="expression" dxfId="89" priority="3">
      <formula>AND(ISNUMBER(I23),I23&gt;=0.8,I23&lt;0.95)</formula>
    </cfRule>
    <cfRule type="expression" dxfId="88" priority="4">
      <formula>AND(ISNUMBER(I23),I23&lt;0.8)</formula>
    </cfRule>
  </conditionalFormatting>
  <conditionalFormatting sqref="J23:J82">
    <cfRule type="expression" dxfId="87" priority="5">
      <formula>J23="Cumple"</formula>
    </cfRule>
    <cfRule type="expression" dxfId="86" priority="6">
      <formula>J23="En riesgo"</formula>
    </cfRule>
    <cfRule type="expression" dxfId="85" priority="7">
      <formula>J23="Crítico"</formula>
    </cfRule>
    <cfRule type="expression" dxfId="84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A14B"/>
  </sheetPr>
  <dimension ref="B2:I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5" width="22" customWidth="1"/>
    <col min="6" max="6" width="15" customWidth="1"/>
    <col min="7" max="7" width="12" customWidth="1"/>
    <col min="8" max="9" width="13" customWidth="1"/>
  </cols>
  <sheetData>
    <row r="2" spans="2:9" ht="27.75" customHeight="1" x14ac:dyDescent="0.35">
      <c r="B2" s="104" t="s">
        <v>276</v>
      </c>
      <c r="C2" s="72"/>
      <c r="D2" s="72"/>
      <c r="E2" s="72"/>
      <c r="F2" s="72"/>
      <c r="G2" s="72"/>
      <c r="H2" s="72"/>
      <c r="I2" s="72"/>
    </row>
    <row r="3" spans="2:9" ht="18" customHeight="1" x14ac:dyDescent="0.35">
      <c r="B3" s="102" t="s">
        <v>277</v>
      </c>
      <c r="C3" s="72"/>
      <c r="D3" s="72"/>
      <c r="E3" s="72"/>
      <c r="F3" s="72"/>
      <c r="G3" s="72"/>
      <c r="H3" s="72"/>
      <c r="I3" s="72"/>
    </row>
    <row r="5" spans="2:9" ht="25.5" customHeight="1" x14ac:dyDescent="0.35">
      <c r="B5" s="88" t="s">
        <v>113</v>
      </c>
      <c r="C5" s="81"/>
      <c r="D5" s="89" t="s">
        <v>171</v>
      </c>
      <c r="E5" s="80"/>
      <c r="F5" s="80"/>
      <c r="G5" s="80"/>
      <c r="H5" s="80"/>
      <c r="I5" s="81"/>
    </row>
    <row r="6" spans="2:9" ht="25.5" customHeight="1" x14ac:dyDescent="0.35">
      <c r="B6" s="88" t="s">
        <v>114</v>
      </c>
      <c r="C6" s="81"/>
      <c r="D6" s="89" t="s">
        <v>172</v>
      </c>
      <c r="E6" s="80"/>
      <c r="F6" s="80"/>
      <c r="G6" s="80"/>
      <c r="H6" s="80"/>
      <c r="I6" s="81"/>
    </row>
    <row r="7" spans="2:9" ht="19.5" customHeight="1" x14ac:dyDescent="0.35">
      <c r="B7" s="88" t="s">
        <v>115</v>
      </c>
      <c r="C7" s="81"/>
      <c r="D7" s="89" t="s">
        <v>173</v>
      </c>
      <c r="E7" s="80"/>
      <c r="F7" s="80"/>
      <c r="G7" s="80"/>
      <c r="H7" s="80"/>
      <c r="I7" s="81"/>
    </row>
    <row r="8" spans="2:9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1"/>
    </row>
    <row r="9" spans="2:9" ht="19.5" customHeight="1" x14ac:dyDescent="0.35">
      <c r="B9" s="88" t="s">
        <v>33</v>
      </c>
      <c r="C9" s="81"/>
      <c r="D9" s="89" t="s">
        <v>69</v>
      </c>
      <c r="E9" s="80"/>
      <c r="F9" s="80"/>
      <c r="G9" s="80"/>
      <c r="H9" s="80"/>
      <c r="I9" s="81"/>
    </row>
    <row r="10" spans="2:9" ht="19.5" customHeight="1" x14ac:dyDescent="0.35">
      <c r="B10" s="88" t="s">
        <v>117</v>
      </c>
      <c r="C10" s="81"/>
      <c r="D10" s="93" t="str">
        <f>VLOOKUP("IND-14",Parámetros!$B$6:$F$30,5,FALSE())</f>
        <v>Por definir</v>
      </c>
      <c r="E10" s="80"/>
      <c r="F10" s="80"/>
      <c r="G10" s="80"/>
      <c r="H10" s="80"/>
      <c r="I10" s="81"/>
    </row>
    <row r="12" spans="2:9" ht="19.5" customHeight="1" x14ac:dyDescent="0.35">
      <c r="B12" s="103" t="s">
        <v>215</v>
      </c>
      <c r="C12" s="72"/>
      <c r="D12" s="72"/>
      <c r="E12" s="72"/>
      <c r="F12" s="72"/>
      <c r="G12" s="72"/>
      <c r="H12" s="72"/>
      <c r="I12" s="72"/>
    </row>
    <row r="13" spans="2:9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1"/>
    </row>
    <row r="14" spans="2:9" ht="19.5" customHeight="1" x14ac:dyDescent="0.35">
      <c r="B14" s="51">
        <v>2026</v>
      </c>
      <c r="C14" s="101">
        <v>5846</v>
      </c>
      <c r="D14" s="81"/>
      <c r="E14" s="92"/>
      <c r="F14" s="80"/>
      <c r="G14" s="80"/>
      <c r="H14" s="80"/>
      <c r="I14" s="80"/>
    </row>
    <row r="15" spans="2:9" ht="19.5" customHeight="1" x14ac:dyDescent="0.35">
      <c r="B15" s="51">
        <v>2027</v>
      </c>
      <c r="C15" s="101">
        <v>6384</v>
      </c>
      <c r="D15" s="81"/>
      <c r="E15" s="92"/>
      <c r="F15" s="80"/>
      <c r="G15" s="80"/>
      <c r="H15" s="80"/>
      <c r="I15" s="80"/>
    </row>
    <row r="16" spans="2:9" ht="19.5" customHeight="1" x14ac:dyDescent="0.35">
      <c r="B16" s="51">
        <v>2028</v>
      </c>
      <c r="C16" s="101">
        <v>6923</v>
      </c>
      <c r="D16" s="81"/>
      <c r="E16" s="92"/>
      <c r="F16" s="80"/>
      <c r="G16" s="80"/>
      <c r="H16" s="80"/>
      <c r="I16" s="80"/>
    </row>
    <row r="17" spans="2:9" ht="19.5" customHeight="1" x14ac:dyDescent="0.35">
      <c r="B17" s="51">
        <v>2029</v>
      </c>
      <c r="C17" s="101">
        <v>7461</v>
      </c>
      <c r="D17" s="81"/>
      <c r="E17" s="92"/>
      <c r="F17" s="80"/>
      <c r="G17" s="80"/>
      <c r="H17" s="80"/>
      <c r="I17" s="80"/>
    </row>
    <row r="18" spans="2:9" ht="19.5" customHeight="1" x14ac:dyDescent="0.35">
      <c r="B18" s="51">
        <v>2030</v>
      </c>
      <c r="C18" s="101">
        <v>8000</v>
      </c>
      <c r="D18" s="81"/>
      <c r="E18" s="92"/>
      <c r="F18" s="80"/>
      <c r="G18" s="80"/>
      <c r="H18" s="80"/>
      <c r="I18" s="80"/>
    </row>
    <row r="20" spans="2:9" ht="19.5" customHeight="1" x14ac:dyDescent="0.35">
      <c r="B20" s="105" t="s">
        <v>218</v>
      </c>
      <c r="C20" s="72"/>
      <c r="D20" s="72"/>
      <c r="E20" s="72"/>
      <c r="F20" s="72"/>
      <c r="G20" s="72"/>
      <c r="H20" s="72"/>
      <c r="I20" s="72"/>
    </row>
    <row r="21" spans="2:9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</row>
    <row r="22" spans="2:9" ht="30" customHeight="1" x14ac:dyDescent="0.35">
      <c r="B22" s="21" t="s">
        <v>220</v>
      </c>
      <c r="C22" s="21" t="s">
        <v>208</v>
      </c>
      <c r="D22" s="21" t="s">
        <v>209</v>
      </c>
      <c r="E22" s="21" t="s">
        <v>278</v>
      </c>
      <c r="F22" s="21" t="s">
        <v>223</v>
      </c>
      <c r="G22" s="21" t="s">
        <v>224</v>
      </c>
      <c r="H22" s="21" t="s">
        <v>225</v>
      </c>
      <c r="I22" s="21" t="s">
        <v>226</v>
      </c>
    </row>
    <row r="23" spans="2:9" ht="18" customHeight="1" x14ac:dyDescent="0.35">
      <c r="B23" s="52">
        <v>1</v>
      </c>
      <c r="C23" s="53">
        <v>2026</v>
      </c>
      <c r="D23" s="54" t="s">
        <v>227</v>
      </c>
      <c r="E23" s="65"/>
      <c r="F23" s="66"/>
      <c r="G23" s="67">
        <f t="shared" ref="G23:G54" si="0">IFERROR(VLOOKUP(C23,$B$14:$C$18,2,FALSE()),"")</f>
        <v>5846</v>
      </c>
      <c r="H23" s="56" t="str">
        <f t="shared" ref="H23:H54" si="1">IFERROR(IF(OR(F23="",NOT(ISNUMBER(G23))),"",F23/G23),"")</f>
        <v/>
      </c>
      <c r="I23" s="32" t="str">
        <f t="shared" ref="I23:I54" si="2">IFERROR(IF(H23="","Pendiente",IF(H23&gt;=0.95,"Cumple",IF(H23&gt;=0.8,"En riesgo","Crítico"))),"Pendiente")</f>
        <v>Pendiente</v>
      </c>
    </row>
    <row r="24" spans="2:9" ht="18" customHeight="1" x14ac:dyDescent="0.35">
      <c r="B24" s="52">
        <v>2</v>
      </c>
      <c r="C24" s="53">
        <v>2026</v>
      </c>
      <c r="D24" s="54" t="s">
        <v>228</v>
      </c>
      <c r="E24" s="65"/>
      <c r="F24" s="66"/>
      <c r="G24" s="67">
        <f t="shared" si="0"/>
        <v>5846</v>
      </c>
      <c r="H24" s="56" t="str">
        <f t="shared" si="1"/>
        <v/>
      </c>
      <c r="I24" s="32" t="str">
        <f t="shared" si="2"/>
        <v>Pendiente</v>
      </c>
    </row>
    <row r="25" spans="2:9" ht="18" customHeight="1" x14ac:dyDescent="0.35">
      <c r="B25" s="52">
        <v>3</v>
      </c>
      <c r="C25" s="53">
        <v>2026</v>
      </c>
      <c r="D25" s="54" t="s">
        <v>229</v>
      </c>
      <c r="E25" s="65"/>
      <c r="F25" s="66"/>
      <c r="G25" s="67">
        <f t="shared" si="0"/>
        <v>5846</v>
      </c>
      <c r="H25" s="56" t="str">
        <f t="shared" si="1"/>
        <v/>
      </c>
      <c r="I25" s="32" t="str">
        <f t="shared" si="2"/>
        <v>Pendiente</v>
      </c>
    </row>
    <row r="26" spans="2:9" ht="18" customHeight="1" x14ac:dyDescent="0.35">
      <c r="B26" s="52">
        <v>4</v>
      </c>
      <c r="C26" s="53">
        <v>2026</v>
      </c>
      <c r="D26" s="54" t="s">
        <v>230</v>
      </c>
      <c r="E26" s="65"/>
      <c r="F26" s="66"/>
      <c r="G26" s="67">
        <f t="shared" si="0"/>
        <v>5846</v>
      </c>
      <c r="H26" s="56" t="str">
        <f t="shared" si="1"/>
        <v/>
      </c>
      <c r="I26" s="32" t="str">
        <f t="shared" si="2"/>
        <v>Pendiente</v>
      </c>
    </row>
    <row r="27" spans="2:9" ht="18" customHeight="1" x14ac:dyDescent="0.35">
      <c r="B27" s="52">
        <v>5</v>
      </c>
      <c r="C27" s="53">
        <v>2026</v>
      </c>
      <c r="D27" s="54" t="s">
        <v>231</v>
      </c>
      <c r="E27" s="65"/>
      <c r="F27" s="66"/>
      <c r="G27" s="67">
        <f t="shared" si="0"/>
        <v>5846</v>
      </c>
      <c r="H27" s="56" t="str">
        <f t="shared" si="1"/>
        <v/>
      </c>
      <c r="I27" s="32" t="str">
        <f t="shared" si="2"/>
        <v>Pendiente</v>
      </c>
    </row>
    <row r="28" spans="2:9" ht="18" customHeight="1" x14ac:dyDescent="0.35">
      <c r="B28" s="52">
        <v>6</v>
      </c>
      <c r="C28" s="53">
        <v>2026</v>
      </c>
      <c r="D28" s="54" t="s">
        <v>232</v>
      </c>
      <c r="E28" s="68">
        <v>5500</v>
      </c>
      <c r="F28" s="69">
        <f>IF(E28="","",E28)</f>
        <v>5500</v>
      </c>
      <c r="G28" s="67">
        <f t="shared" si="0"/>
        <v>5846</v>
      </c>
      <c r="H28" s="56">
        <f t="shared" si="1"/>
        <v>0.94081423195347247</v>
      </c>
      <c r="I28" s="32" t="str">
        <f t="shared" si="2"/>
        <v>En riesgo</v>
      </c>
    </row>
    <row r="29" spans="2:9" ht="18" customHeight="1" x14ac:dyDescent="0.35">
      <c r="B29" s="52">
        <v>7</v>
      </c>
      <c r="C29" s="53">
        <v>2026</v>
      </c>
      <c r="D29" s="54" t="s">
        <v>233</v>
      </c>
      <c r="E29" s="65"/>
      <c r="F29" s="66"/>
      <c r="G29" s="67">
        <f t="shared" si="0"/>
        <v>5846</v>
      </c>
      <c r="H29" s="56" t="str">
        <f t="shared" si="1"/>
        <v/>
      </c>
      <c r="I29" s="32" t="str">
        <f t="shared" si="2"/>
        <v>Pendiente</v>
      </c>
    </row>
    <row r="30" spans="2:9" ht="18" customHeight="1" x14ac:dyDescent="0.35">
      <c r="B30" s="52">
        <v>8</v>
      </c>
      <c r="C30" s="53">
        <v>2026</v>
      </c>
      <c r="D30" s="54" t="s">
        <v>234</v>
      </c>
      <c r="E30" s="65"/>
      <c r="F30" s="66"/>
      <c r="G30" s="67">
        <f t="shared" si="0"/>
        <v>5846</v>
      </c>
      <c r="H30" s="56" t="str">
        <f t="shared" si="1"/>
        <v/>
      </c>
      <c r="I30" s="32" t="str">
        <f t="shared" si="2"/>
        <v>Pendiente</v>
      </c>
    </row>
    <row r="31" spans="2:9" ht="18" customHeight="1" x14ac:dyDescent="0.35">
      <c r="B31" s="52">
        <v>9</v>
      </c>
      <c r="C31" s="53">
        <v>2026</v>
      </c>
      <c r="D31" s="54" t="s">
        <v>235</v>
      </c>
      <c r="E31" s="65"/>
      <c r="F31" s="66"/>
      <c r="G31" s="67">
        <f t="shared" si="0"/>
        <v>5846</v>
      </c>
      <c r="H31" s="56" t="str">
        <f t="shared" si="1"/>
        <v/>
      </c>
      <c r="I31" s="32" t="str">
        <f t="shared" si="2"/>
        <v>Pendiente</v>
      </c>
    </row>
    <row r="32" spans="2:9" ht="18" customHeight="1" x14ac:dyDescent="0.35">
      <c r="B32" s="52">
        <v>10</v>
      </c>
      <c r="C32" s="53">
        <v>2026</v>
      </c>
      <c r="D32" s="54" t="s">
        <v>236</v>
      </c>
      <c r="E32" s="65"/>
      <c r="F32" s="66"/>
      <c r="G32" s="67">
        <f t="shared" si="0"/>
        <v>5846</v>
      </c>
      <c r="H32" s="56" t="str">
        <f t="shared" si="1"/>
        <v/>
      </c>
      <c r="I32" s="32" t="str">
        <f t="shared" si="2"/>
        <v>Pendiente</v>
      </c>
    </row>
    <row r="33" spans="2:9" ht="18" customHeight="1" x14ac:dyDescent="0.35">
      <c r="B33" s="52">
        <v>11</v>
      </c>
      <c r="C33" s="53">
        <v>2026</v>
      </c>
      <c r="D33" s="54" t="s">
        <v>237</v>
      </c>
      <c r="E33" s="65"/>
      <c r="F33" s="66"/>
      <c r="G33" s="67">
        <f t="shared" si="0"/>
        <v>5846</v>
      </c>
      <c r="H33" s="56" t="str">
        <f t="shared" si="1"/>
        <v/>
      </c>
      <c r="I33" s="32" t="str">
        <f t="shared" si="2"/>
        <v>Pendiente</v>
      </c>
    </row>
    <row r="34" spans="2:9" ht="18" customHeight="1" x14ac:dyDescent="0.35">
      <c r="B34" s="52">
        <v>12</v>
      </c>
      <c r="C34" s="53">
        <v>2026</v>
      </c>
      <c r="D34" s="54" t="s">
        <v>238</v>
      </c>
      <c r="E34" s="68">
        <v>5846</v>
      </c>
      <c r="F34" s="69">
        <f>IF(E34="","",E34)</f>
        <v>5846</v>
      </c>
      <c r="G34" s="67">
        <f t="shared" si="0"/>
        <v>5846</v>
      </c>
      <c r="H34" s="56">
        <f t="shared" si="1"/>
        <v>1</v>
      </c>
      <c r="I34" s="32" t="str">
        <f t="shared" si="2"/>
        <v>Cumple</v>
      </c>
    </row>
    <row r="35" spans="2:9" ht="18" customHeight="1" x14ac:dyDescent="0.35">
      <c r="B35" s="52">
        <v>13</v>
      </c>
      <c r="C35" s="53">
        <v>2027</v>
      </c>
      <c r="D35" s="54" t="s">
        <v>227</v>
      </c>
      <c r="E35" s="65"/>
      <c r="F35" s="66"/>
      <c r="G35" s="67">
        <f t="shared" si="0"/>
        <v>6384</v>
      </c>
      <c r="H35" s="56" t="str">
        <f t="shared" si="1"/>
        <v/>
      </c>
      <c r="I35" s="32" t="str">
        <f t="shared" si="2"/>
        <v>Pendiente</v>
      </c>
    </row>
    <row r="36" spans="2:9" ht="18" customHeight="1" x14ac:dyDescent="0.35">
      <c r="B36" s="52">
        <v>14</v>
      </c>
      <c r="C36" s="53">
        <v>2027</v>
      </c>
      <c r="D36" s="54" t="s">
        <v>228</v>
      </c>
      <c r="E36" s="65"/>
      <c r="F36" s="66"/>
      <c r="G36" s="67">
        <f t="shared" si="0"/>
        <v>6384</v>
      </c>
      <c r="H36" s="56" t="str">
        <f t="shared" si="1"/>
        <v/>
      </c>
      <c r="I36" s="32" t="str">
        <f t="shared" si="2"/>
        <v>Pendiente</v>
      </c>
    </row>
    <row r="37" spans="2:9" ht="18" customHeight="1" x14ac:dyDescent="0.35">
      <c r="B37" s="52">
        <v>15</v>
      </c>
      <c r="C37" s="53">
        <v>2027</v>
      </c>
      <c r="D37" s="54" t="s">
        <v>229</v>
      </c>
      <c r="E37" s="65"/>
      <c r="F37" s="66"/>
      <c r="G37" s="67">
        <f t="shared" si="0"/>
        <v>6384</v>
      </c>
      <c r="H37" s="56" t="str">
        <f t="shared" si="1"/>
        <v/>
      </c>
      <c r="I37" s="32" t="str">
        <f t="shared" si="2"/>
        <v>Pendiente</v>
      </c>
    </row>
    <row r="38" spans="2:9" ht="18" customHeight="1" x14ac:dyDescent="0.35">
      <c r="B38" s="52">
        <v>16</v>
      </c>
      <c r="C38" s="53">
        <v>2027</v>
      </c>
      <c r="D38" s="54" t="s">
        <v>230</v>
      </c>
      <c r="E38" s="65"/>
      <c r="F38" s="66"/>
      <c r="G38" s="67">
        <f t="shared" si="0"/>
        <v>6384</v>
      </c>
      <c r="H38" s="56" t="str">
        <f t="shared" si="1"/>
        <v/>
      </c>
      <c r="I38" s="32" t="str">
        <f t="shared" si="2"/>
        <v>Pendiente</v>
      </c>
    </row>
    <row r="39" spans="2:9" ht="18" customHeight="1" x14ac:dyDescent="0.35">
      <c r="B39" s="52">
        <v>17</v>
      </c>
      <c r="C39" s="53">
        <v>2027</v>
      </c>
      <c r="D39" s="54" t="s">
        <v>231</v>
      </c>
      <c r="E39" s="65"/>
      <c r="F39" s="66"/>
      <c r="G39" s="67">
        <f t="shared" si="0"/>
        <v>6384</v>
      </c>
      <c r="H39" s="56" t="str">
        <f t="shared" si="1"/>
        <v/>
      </c>
      <c r="I39" s="32" t="str">
        <f t="shared" si="2"/>
        <v>Pendiente</v>
      </c>
    </row>
    <row r="40" spans="2:9" ht="18" customHeight="1" x14ac:dyDescent="0.35">
      <c r="B40" s="52">
        <v>18</v>
      </c>
      <c r="C40" s="53">
        <v>2027</v>
      </c>
      <c r="D40" s="54" t="s">
        <v>232</v>
      </c>
      <c r="E40" s="68">
        <v>6100</v>
      </c>
      <c r="F40" s="69">
        <f>IF(E40="","",E40)</f>
        <v>6100</v>
      </c>
      <c r="G40" s="67">
        <f t="shared" si="0"/>
        <v>6384</v>
      </c>
      <c r="H40" s="56">
        <f t="shared" si="1"/>
        <v>0.95551378446115287</v>
      </c>
      <c r="I40" s="32" t="str">
        <f t="shared" si="2"/>
        <v>Cumple</v>
      </c>
    </row>
    <row r="41" spans="2:9" ht="18" customHeight="1" x14ac:dyDescent="0.35">
      <c r="B41" s="52">
        <v>19</v>
      </c>
      <c r="C41" s="53">
        <v>2027</v>
      </c>
      <c r="D41" s="54" t="s">
        <v>233</v>
      </c>
      <c r="E41" s="65"/>
      <c r="F41" s="66"/>
      <c r="G41" s="67">
        <f t="shared" si="0"/>
        <v>6384</v>
      </c>
      <c r="H41" s="56" t="str">
        <f t="shared" si="1"/>
        <v/>
      </c>
      <c r="I41" s="32" t="str">
        <f t="shared" si="2"/>
        <v>Pendiente</v>
      </c>
    </row>
    <row r="42" spans="2:9" ht="18" customHeight="1" x14ac:dyDescent="0.35">
      <c r="B42" s="52">
        <v>20</v>
      </c>
      <c r="C42" s="53">
        <v>2027</v>
      </c>
      <c r="D42" s="54" t="s">
        <v>234</v>
      </c>
      <c r="E42" s="65"/>
      <c r="F42" s="66"/>
      <c r="G42" s="67">
        <f t="shared" si="0"/>
        <v>6384</v>
      </c>
      <c r="H42" s="56" t="str">
        <f t="shared" si="1"/>
        <v/>
      </c>
      <c r="I42" s="32" t="str">
        <f t="shared" si="2"/>
        <v>Pendiente</v>
      </c>
    </row>
    <row r="43" spans="2:9" ht="18" customHeight="1" x14ac:dyDescent="0.35">
      <c r="B43" s="52">
        <v>21</v>
      </c>
      <c r="C43" s="53">
        <v>2027</v>
      </c>
      <c r="D43" s="54" t="s">
        <v>235</v>
      </c>
      <c r="E43" s="65"/>
      <c r="F43" s="66"/>
      <c r="G43" s="67">
        <f t="shared" si="0"/>
        <v>6384</v>
      </c>
      <c r="H43" s="56" t="str">
        <f t="shared" si="1"/>
        <v/>
      </c>
      <c r="I43" s="32" t="str">
        <f t="shared" si="2"/>
        <v>Pendiente</v>
      </c>
    </row>
    <row r="44" spans="2:9" ht="18" customHeight="1" x14ac:dyDescent="0.35">
      <c r="B44" s="52">
        <v>22</v>
      </c>
      <c r="C44" s="53">
        <v>2027</v>
      </c>
      <c r="D44" s="54" t="s">
        <v>236</v>
      </c>
      <c r="E44" s="65"/>
      <c r="F44" s="66"/>
      <c r="G44" s="67">
        <f t="shared" si="0"/>
        <v>6384</v>
      </c>
      <c r="H44" s="56" t="str">
        <f t="shared" si="1"/>
        <v/>
      </c>
      <c r="I44" s="32" t="str">
        <f t="shared" si="2"/>
        <v>Pendiente</v>
      </c>
    </row>
    <row r="45" spans="2:9" ht="18" customHeight="1" x14ac:dyDescent="0.35">
      <c r="B45" s="52">
        <v>23</v>
      </c>
      <c r="C45" s="53">
        <v>2027</v>
      </c>
      <c r="D45" s="54" t="s">
        <v>237</v>
      </c>
      <c r="E45" s="65"/>
      <c r="F45" s="66"/>
      <c r="G45" s="67">
        <f t="shared" si="0"/>
        <v>6384</v>
      </c>
      <c r="H45" s="56" t="str">
        <f t="shared" si="1"/>
        <v/>
      </c>
      <c r="I45" s="32" t="str">
        <f t="shared" si="2"/>
        <v>Pendiente</v>
      </c>
    </row>
    <row r="46" spans="2:9" ht="18" customHeight="1" x14ac:dyDescent="0.35">
      <c r="B46" s="52">
        <v>24</v>
      </c>
      <c r="C46" s="53">
        <v>2027</v>
      </c>
      <c r="D46" s="54" t="s">
        <v>238</v>
      </c>
      <c r="E46" s="68">
        <v>6384</v>
      </c>
      <c r="F46" s="69">
        <f>IF(E46="","",E46)</f>
        <v>6384</v>
      </c>
      <c r="G46" s="67">
        <f t="shared" si="0"/>
        <v>6384</v>
      </c>
      <c r="H46" s="56">
        <f t="shared" si="1"/>
        <v>1</v>
      </c>
      <c r="I46" s="32" t="str">
        <f t="shared" si="2"/>
        <v>Cumple</v>
      </c>
    </row>
    <row r="47" spans="2:9" ht="18" customHeight="1" x14ac:dyDescent="0.35">
      <c r="B47" s="52">
        <v>25</v>
      </c>
      <c r="C47" s="53">
        <v>2028</v>
      </c>
      <c r="D47" s="54" t="s">
        <v>227</v>
      </c>
      <c r="E47" s="65"/>
      <c r="F47" s="66"/>
      <c r="G47" s="67">
        <f t="shared" si="0"/>
        <v>6923</v>
      </c>
      <c r="H47" s="56" t="str">
        <f t="shared" si="1"/>
        <v/>
      </c>
      <c r="I47" s="32" t="str">
        <f t="shared" si="2"/>
        <v>Pendiente</v>
      </c>
    </row>
    <row r="48" spans="2:9" ht="18" customHeight="1" x14ac:dyDescent="0.35">
      <c r="B48" s="52">
        <v>26</v>
      </c>
      <c r="C48" s="53">
        <v>2028</v>
      </c>
      <c r="D48" s="54" t="s">
        <v>228</v>
      </c>
      <c r="E48" s="65"/>
      <c r="F48" s="66"/>
      <c r="G48" s="67">
        <f t="shared" si="0"/>
        <v>6923</v>
      </c>
      <c r="H48" s="56" t="str">
        <f t="shared" si="1"/>
        <v/>
      </c>
      <c r="I48" s="32" t="str">
        <f t="shared" si="2"/>
        <v>Pendiente</v>
      </c>
    </row>
    <row r="49" spans="2:9" ht="18" customHeight="1" x14ac:dyDescent="0.35">
      <c r="B49" s="52">
        <v>27</v>
      </c>
      <c r="C49" s="53">
        <v>2028</v>
      </c>
      <c r="D49" s="54" t="s">
        <v>229</v>
      </c>
      <c r="E49" s="65"/>
      <c r="F49" s="66"/>
      <c r="G49" s="67">
        <f t="shared" si="0"/>
        <v>6923</v>
      </c>
      <c r="H49" s="56" t="str">
        <f t="shared" si="1"/>
        <v/>
      </c>
      <c r="I49" s="32" t="str">
        <f t="shared" si="2"/>
        <v>Pendiente</v>
      </c>
    </row>
    <row r="50" spans="2:9" ht="18" customHeight="1" x14ac:dyDescent="0.35">
      <c r="B50" s="52">
        <v>28</v>
      </c>
      <c r="C50" s="53">
        <v>2028</v>
      </c>
      <c r="D50" s="54" t="s">
        <v>230</v>
      </c>
      <c r="E50" s="65"/>
      <c r="F50" s="66"/>
      <c r="G50" s="67">
        <f t="shared" si="0"/>
        <v>6923</v>
      </c>
      <c r="H50" s="56" t="str">
        <f t="shared" si="1"/>
        <v/>
      </c>
      <c r="I50" s="32" t="str">
        <f t="shared" si="2"/>
        <v>Pendiente</v>
      </c>
    </row>
    <row r="51" spans="2:9" ht="18" customHeight="1" x14ac:dyDescent="0.35">
      <c r="B51" s="52">
        <v>29</v>
      </c>
      <c r="C51" s="53">
        <v>2028</v>
      </c>
      <c r="D51" s="54" t="s">
        <v>231</v>
      </c>
      <c r="E51" s="65"/>
      <c r="F51" s="66"/>
      <c r="G51" s="67">
        <f t="shared" si="0"/>
        <v>6923</v>
      </c>
      <c r="H51" s="56" t="str">
        <f t="shared" si="1"/>
        <v/>
      </c>
      <c r="I51" s="32" t="str">
        <f t="shared" si="2"/>
        <v>Pendiente</v>
      </c>
    </row>
    <row r="52" spans="2:9" ht="18" customHeight="1" x14ac:dyDescent="0.35">
      <c r="B52" s="52">
        <v>30</v>
      </c>
      <c r="C52" s="53">
        <v>2028</v>
      </c>
      <c r="D52" s="54" t="s">
        <v>232</v>
      </c>
      <c r="E52" s="68"/>
      <c r="F52" s="69" t="str">
        <f>IF(E52="","",E52)</f>
        <v/>
      </c>
      <c r="G52" s="67">
        <f t="shared" si="0"/>
        <v>6923</v>
      </c>
      <c r="H52" s="56" t="str">
        <f t="shared" si="1"/>
        <v/>
      </c>
      <c r="I52" s="32" t="str">
        <f t="shared" si="2"/>
        <v>Pendiente</v>
      </c>
    </row>
    <row r="53" spans="2:9" ht="18" customHeight="1" x14ac:dyDescent="0.35">
      <c r="B53" s="52">
        <v>31</v>
      </c>
      <c r="C53" s="53">
        <v>2028</v>
      </c>
      <c r="D53" s="54" t="s">
        <v>233</v>
      </c>
      <c r="E53" s="65"/>
      <c r="F53" s="66"/>
      <c r="G53" s="67">
        <f t="shared" si="0"/>
        <v>6923</v>
      </c>
      <c r="H53" s="56" t="str">
        <f t="shared" si="1"/>
        <v/>
      </c>
      <c r="I53" s="32" t="str">
        <f t="shared" si="2"/>
        <v>Pendiente</v>
      </c>
    </row>
    <row r="54" spans="2:9" ht="18" customHeight="1" x14ac:dyDescent="0.35">
      <c r="B54" s="52">
        <v>32</v>
      </c>
      <c r="C54" s="53">
        <v>2028</v>
      </c>
      <c r="D54" s="54" t="s">
        <v>234</v>
      </c>
      <c r="E54" s="65"/>
      <c r="F54" s="66"/>
      <c r="G54" s="67">
        <f t="shared" si="0"/>
        <v>6923</v>
      </c>
      <c r="H54" s="56" t="str">
        <f t="shared" si="1"/>
        <v/>
      </c>
      <c r="I54" s="32" t="str">
        <f t="shared" si="2"/>
        <v>Pendiente</v>
      </c>
    </row>
    <row r="55" spans="2:9" ht="18" customHeight="1" x14ac:dyDescent="0.35">
      <c r="B55" s="52">
        <v>33</v>
      </c>
      <c r="C55" s="53">
        <v>2028</v>
      </c>
      <c r="D55" s="54" t="s">
        <v>235</v>
      </c>
      <c r="E55" s="65"/>
      <c r="F55" s="66"/>
      <c r="G55" s="67">
        <f t="shared" ref="G55:G82" si="3">IFERROR(VLOOKUP(C55,$B$14:$C$18,2,FALSE()),"")</f>
        <v>6923</v>
      </c>
      <c r="H55" s="56" t="str">
        <f t="shared" ref="H55:H86" si="4">IFERROR(IF(OR(F55="",NOT(ISNUMBER(G55))),"",F55/G55),"")</f>
        <v/>
      </c>
      <c r="I55" s="32" t="str">
        <f t="shared" ref="I55:I86" si="5">IFERROR(IF(H55="","Pendiente",IF(H55&gt;=0.95,"Cumple",IF(H55&gt;=0.8,"En riesgo","Crítico"))),"Pendiente")</f>
        <v>Pendiente</v>
      </c>
    </row>
    <row r="56" spans="2:9" ht="18" customHeight="1" x14ac:dyDescent="0.35">
      <c r="B56" s="52">
        <v>34</v>
      </c>
      <c r="C56" s="53">
        <v>2028</v>
      </c>
      <c r="D56" s="54" t="s">
        <v>236</v>
      </c>
      <c r="E56" s="65"/>
      <c r="F56" s="66"/>
      <c r="G56" s="67">
        <f t="shared" si="3"/>
        <v>6923</v>
      </c>
      <c r="H56" s="56" t="str">
        <f t="shared" si="4"/>
        <v/>
      </c>
      <c r="I56" s="32" t="str">
        <f t="shared" si="5"/>
        <v>Pendiente</v>
      </c>
    </row>
    <row r="57" spans="2:9" ht="18" customHeight="1" x14ac:dyDescent="0.35">
      <c r="B57" s="52">
        <v>35</v>
      </c>
      <c r="C57" s="53">
        <v>2028</v>
      </c>
      <c r="D57" s="54" t="s">
        <v>237</v>
      </c>
      <c r="E57" s="65"/>
      <c r="F57" s="66"/>
      <c r="G57" s="67">
        <f t="shared" si="3"/>
        <v>6923</v>
      </c>
      <c r="H57" s="56" t="str">
        <f t="shared" si="4"/>
        <v/>
      </c>
      <c r="I57" s="32" t="str">
        <f t="shared" si="5"/>
        <v>Pendiente</v>
      </c>
    </row>
    <row r="58" spans="2:9" ht="18" customHeight="1" x14ac:dyDescent="0.35">
      <c r="B58" s="52">
        <v>36</v>
      </c>
      <c r="C58" s="53">
        <v>2028</v>
      </c>
      <c r="D58" s="54" t="s">
        <v>238</v>
      </c>
      <c r="E58" s="68"/>
      <c r="F58" s="69" t="str">
        <f>IF(E58="","",E58)</f>
        <v/>
      </c>
      <c r="G58" s="67">
        <f t="shared" si="3"/>
        <v>6923</v>
      </c>
      <c r="H58" s="56" t="str">
        <f t="shared" si="4"/>
        <v/>
      </c>
      <c r="I58" s="32" t="str">
        <f t="shared" si="5"/>
        <v>Pendiente</v>
      </c>
    </row>
    <row r="59" spans="2:9" ht="18" customHeight="1" x14ac:dyDescent="0.35">
      <c r="B59" s="52">
        <v>37</v>
      </c>
      <c r="C59" s="53">
        <v>2029</v>
      </c>
      <c r="D59" s="54" t="s">
        <v>227</v>
      </c>
      <c r="E59" s="65"/>
      <c r="F59" s="66"/>
      <c r="G59" s="67">
        <f t="shared" si="3"/>
        <v>7461</v>
      </c>
      <c r="H59" s="56" t="str">
        <f t="shared" si="4"/>
        <v/>
      </c>
      <c r="I59" s="32" t="str">
        <f t="shared" si="5"/>
        <v>Pendiente</v>
      </c>
    </row>
    <row r="60" spans="2:9" ht="18" customHeight="1" x14ac:dyDescent="0.35">
      <c r="B60" s="52">
        <v>38</v>
      </c>
      <c r="C60" s="53">
        <v>2029</v>
      </c>
      <c r="D60" s="54" t="s">
        <v>228</v>
      </c>
      <c r="E60" s="65"/>
      <c r="F60" s="66"/>
      <c r="G60" s="67">
        <f t="shared" si="3"/>
        <v>7461</v>
      </c>
      <c r="H60" s="56" t="str">
        <f t="shared" si="4"/>
        <v/>
      </c>
      <c r="I60" s="32" t="str">
        <f t="shared" si="5"/>
        <v>Pendiente</v>
      </c>
    </row>
    <row r="61" spans="2:9" ht="18" customHeight="1" x14ac:dyDescent="0.35">
      <c r="B61" s="52">
        <v>39</v>
      </c>
      <c r="C61" s="53">
        <v>2029</v>
      </c>
      <c r="D61" s="54" t="s">
        <v>229</v>
      </c>
      <c r="E61" s="65"/>
      <c r="F61" s="66"/>
      <c r="G61" s="67">
        <f t="shared" si="3"/>
        <v>7461</v>
      </c>
      <c r="H61" s="56" t="str">
        <f t="shared" si="4"/>
        <v/>
      </c>
      <c r="I61" s="32" t="str">
        <f t="shared" si="5"/>
        <v>Pendiente</v>
      </c>
    </row>
    <row r="62" spans="2:9" ht="18" customHeight="1" x14ac:dyDescent="0.35">
      <c r="B62" s="52">
        <v>40</v>
      </c>
      <c r="C62" s="53">
        <v>2029</v>
      </c>
      <c r="D62" s="54" t="s">
        <v>230</v>
      </c>
      <c r="E62" s="65"/>
      <c r="F62" s="66"/>
      <c r="G62" s="67">
        <f t="shared" si="3"/>
        <v>7461</v>
      </c>
      <c r="H62" s="56" t="str">
        <f t="shared" si="4"/>
        <v/>
      </c>
      <c r="I62" s="32" t="str">
        <f t="shared" si="5"/>
        <v>Pendiente</v>
      </c>
    </row>
    <row r="63" spans="2:9" ht="18" customHeight="1" x14ac:dyDescent="0.35">
      <c r="B63" s="52">
        <v>41</v>
      </c>
      <c r="C63" s="53">
        <v>2029</v>
      </c>
      <c r="D63" s="54" t="s">
        <v>231</v>
      </c>
      <c r="E63" s="65"/>
      <c r="F63" s="66"/>
      <c r="G63" s="67">
        <f t="shared" si="3"/>
        <v>7461</v>
      </c>
      <c r="H63" s="56" t="str">
        <f t="shared" si="4"/>
        <v/>
      </c>
      <c r="I63" s="32" t="str">
        <f t="shared" si="5"/>
        <v>Pendiente</v>
      </c>
    </row>
    <row r="64" spans="2:9" ht="18" customHeight="1" x14ac:dyDescent="0.35">
      <c r="B64" s="52">
        <v>42</v>
      </c>
      <c r="C64" s="53">
        <v>2029</v>
      </c>
      <c r="D64" s="54" t="s">
        <v>232</v>
      </c>
      <c r="E64" s="68"/>
      <c r="F64" s="69" t="str">
        <f>IF(E64="","",E64)</f>
        <v/>
      </c>
      <c r="G64" s="67">
        <f t="shared" si="3"/>
        <v>7461</v>
      </c>
      <c r="H64" s="56" t="str">
        <f t="shared" si="4"/>
        <v/>
      </c>
      <c r="I64" s="32" t="str">
        <f t="shared" si="5"/>
        <v>Pendiente</v>
      </c>
    </row>
    <row r="65" spans="2:9" ht="18" customHeight="1" x14ac:dyDescent="0.35">
      <c r="B65" s="52">
        <v>43</v>
      </c>
      <c r="C65" s="53">
        <v>2029</v>
      </c>
      <c r="D65" s="54" t="s">
        <v>233</v>
      </c>
      <c r="E65" s="65"/>
      <c r="F65" s="66"/>
      <c r="G65" s="67">
        <f t="shared" si="3"/>
        <v>7461</v>
      </c>
      <c r="H65" s="56" t="str">
        <f t="shared" si="4"/>
        <v/>
      </c>
      <c r="I65" s="32" t="str">
        <f t="shared" si="5"/>
        <v>Pendiente</v>
      </c>
    </row>
    <row r="66" spans="2:9" ht="18" customHeight="1" x14ac:dyDescent="0.35">
      <c r="B66" s="52">
        <v>44</v>
      </c>
      <c r="C66" s="53">
        <v>2029</v>
      </c>
      <c r="D66" s="54" t="s">
        <v>234</v>
      </c>
      <c r="E66" s="65"/>
      <c r="F66" s="66"/>
      <c r="G66" s="67">
        <f t="shared" si="3"/>
        <v>7461</v>
      </c>
      <c r="H66" s="56" t="str">
        <f t="shared" si="4"/>
        <v/>
      </c>
      <c r="I66" s="32" t="str">
        <f t="shared" si="5"/>
        <v>Pendiente</v>
      </c>
    </row>
    <row r="67" spans="2:9" ht="18" customHeight="1" x14ac:dyDescent="0.35">
      <c r="B67" s="52">
        <v>45</v>
      </c>
      <c r="C67" s="53">
        <v>2029</v>
      </c>
      <c r="D67" s="54" t="s">
        <v>235</v>
      </c>
      <c r="E67" s="65"/>
      <c r="F67" s="66"/>
      <c r="G67" s="67">
        <f t="shared" si="3"/>
        <v>7461</v>
      </c>
      <c r="H67" s="56" t="str">
        <f t="shared" si="4"/>
        <v/>
      </c>
      <c r="I67" s="32" t="str">
        <f t="shared" si="5"/>
        <v>Pendiente</v>
      </c>
    </row>
    <row r="68" spans="2:9" ht="18" customHeight="1" x14ac:dyDescent="0.35">
      <c r="B68" s="52">
        <v>46</v>
      </c>
      <c r="C68" s="53">
        <v>2029</v>
      </c>
      <c r="D68" s="54" t="s">
        <v>236</v>
      </c>
      <c r="E68" s="65"/>
      <c r="F68" s="66"/>
      <c r="G68" s="67">
        <f t="shared" si="3"/>
        <v>7461</v>
      </c>
      <c r="H68" s="56" t="str">
        <f t="shared" si="4"/>
        <v/>
      </c>
      <c r="I68" s="32" t="str">
        <f t="shared" si="5"/>
        <v>Pendiente</v>
      </c>
    </row>
    <row r="69" spans="2:9" ht="18" customHeight="1" x14ac:dyDescent="0.35">
      <c r="B69" s="52">
        <v>47</v>
      </c>
      <c r="C69" s="53">
        <v>2029</v>
      </c>
      <c r="D69" s="54" t="s">
        <v>237</v>
      </c>
      <c r="E69" s="65"/>
      <c r="F69" s="66"/>
      <c r="G69" s="67">
        <f t="shared" si="3"/>
        <v>7461</v>
      </c>
      <c r="H69" s="56" t="str">
        <f t="shared" si="4"/>
        <v/>
      </c>
      <c r="I69" s="32" t="str">
        <f t="shared" si="5"/>
        <v>Pendiente</v>
      </c>
    </row>
    <row r="70" spans="2:9" ht="18" customHeight="1" x14ac:dyDescent="0.35">
      <c r="B70" s="52">
        <v>48</v>
      </c>
      <c r="C70" s="53">
        <v>2029</v>
      </c>
      <c r="D70" s="54" t="s">
        <v>238</v>
      </c>
      <c r="E70" s="68"/>
      <c r="F70" s="69" t="str">
        <f>IF(E70="","",E70)</f>
        <v/>
      </c>
      <c r="G70" s="67">
        <f t="shared" si="3"/>
        <v>7461</v>
      </c>
      <c r="H70" s="56" t="str">
        <f t="shared" si="4"/>
        <v/>
      </c>
      <c r="I70" s="32" t="str">
        <f t="shared" si="5"/>
        <v>Pendiente</v>
      </c>
    </row>
    <row r="71" spans="2:9" ht="18" customHeight="1" x14ac:dyDescent="0.35">
      <c r="B71" s="52">
        <v>49</v>
      </c>
      <c r="C71" s="53">
        <v>2030</v>
      </c>
      <c r="D71" s="54" t="s">
        <v>227</v>
      </c>
      <c r="E71" s="65"/>
      <c r="F71" s="66"/>
      <c r="G71" s="67">
        <f t="shared" si="3"/>
        <v>8000</v>
      </c>
      <c r="H71" s="56" t="str">
        <f t="shared" si="4"/>
        <v/>
      </c>
      <c r="I71" s="32" t="str">
        <f t="shared" si="5"/>
        <v>Pendiente</v>
      </c>
    </row>
    <row r="72" spans="2:9" ht="18" customHeight="1" x14ac:dyDescent="0.35">
      <c r="B72" s="52">
        <v>50</v>
      </c>
      <c r="C72" s="53">
        <v>2030</v>
      </c>
      <c r="D72" s="54" t="s">
        <v>228</v>
      </c>
      <c r="E72" s="65"/>
      <c r="F72" s="66"/>
      <c r="G72" s="67">
        <f t="shared" si="3"/>
        <v>8000</v>
      </c>
      <c r="H72" s="56" t="str">
        <f t="shared" si="4"/>
        <v/>
      </c>
      <c r="I72" s="32" t="str">
        <f t="shared" si="5"/>
        <v>Pendiente</v>
      </c>
    </row>
    <row r="73" spans="2:9" ht="18" customHeight="1" x14ac:dyDescent="0.35">
      <c r="B73" s="52">
        <v>51</v>
      </c>
      <c r="C73" s="53">
        <v>2030</v>
      </c>
      <c r="D73" s="54" t="s">
        <v>229</v>
      </c>
      <c r="E73" s="65"/>
      <c r="F73" s="66"/>
      <c r="G73" s="67">
        <f t="shared" si="3"/>
        <v>8000</v>
      </c>
      <c r="H73" s="56" t="str">
        <f t="shared" si="4"/>
        <v/>
      </c>
      <c r="I73" s="32" t="str">
        <f t="shared" si="5"/>
        <v>Pendiente</v>
      </c>
    </row>
    <row r="74" spans="2:9" ht="18" customHeight="1" x14ac:dyDescent="0.35">
      <c r="B74" s="52">
        <v>52</v>
      </c>
      <c r="C74" s="53">
        <v>2030</v>
      </c>
      <c r="D74" s="54" t="s">
        <v>230</v>
      </c>
      <c r="E74" s="65"/>
      <c r="F74" s="66"/>
      <c r="G74" s="67">
        <f t="shared" si="3"/>
        <v>8000</v>
      </c>
      <c r="H74" s="56" t="str">
        <f t="shared" si="4"/>
        <v/>
      </c>
      <c r="I74" s="32" t="str">
        <f t="shared" si="5"/>
        <v>Pendiente</v>
      </c>
    </row>
    <row r="75" spans="2:9" ht="18" customHeight="1" x14ac:dyDescent="0.35">
      <c r="B75" s="52">
        <v>53</v>
      </c>
      <c r="C75" s="53">
        <v>2030</v>
      </c>
      <c r="D75" s="54" t="s">
        <v>231</v>
      </c>
      <c r="E75" s="65"/>
      <c r="F75" s="66"/>
      <c r="G75" s="67">
        <f t="shared" si="3"/>
        <v>8000</v>
      </c>
      <c r="H75" s="56" t="str">
        <f t="shared" si="4"/>
        <v/>
      </c>
      <c r="I75" s="32" t="str">
        <f t="shared" si="5"/>
        <v>Pendiente</v>
      </c>
    </row>
    <row r="76" spans="2:9" ht="18" customHeight="1" x14ac:dyDescent="0.35">
      <c r="B76" s="52">
        <v>54</v>
      </c>
      <c r="C76" s="53">
        <v>2030</v>
      </c>
      <c r="D76" s="54" t="s">
        <v>232</v>
      </c>
      <c r="E76" s="68"/>
      <c r="F76" s="69" t="str">
        <f>IF(E76="","",E76)</f>
        <v/>
      </c>
      <c r="G76" s="67">
        <f t="shared" si="3"/>
        <v>8000</v>
      </c>
      <c r="H76" s="56" t="str">
        <f t="shared" si="4"/>
        <v/>
      </c>
      <c r="I76" s="32" t="str">
        <f t="shared" si="5"/>
        <v>Pendiente</v>
      </c>
    </row>
    <row r="77" spans="2:9" ht="18" customHeight="1" x14ac:dyDescent="0.35">
      <c r="B77" s="52">
        <v>55</v>
      </c>
      <c r="C77" s="53">
        <v>2030</v>
      </c>
      <c r="D77" s="54" t="s">
        <v>233</v>
      </c>
      <c r="E77" s="65"/>
      <c r="F77" s="66"/>
      <c r="G77" s="67">
        <f t="shared" si="3"/>
        <v>8000</v>
      </c>
      <c r="H77" s="56" t="str">
        <f t="shared" si="4"/>
        <v/>
      </c>
      <c r="I77" s="32" t="str">
        <f t="shared" si="5"/>
        <v>Pendiente</v>
      </c>
    </row>
    <row r="78" spans="2:9" ht="18" customHeight="1" x14ac:dyDescent="0.35">
      <c r="B78" s="52">
        <v>56</v>
      </c>
      <c r="C78" s="53">
        <v>2030</v>
      </c>
      <c r="D78" s="54" t="s">
        <v>234</v>
      </c>
      <c r="E78" s="65"/>
      <c r="F78" s="66"/>
      <c r="G78" s="67">
        <f t="shared" si="3"/>
        <v>8000</v>
      </c>
      <c r="H78" s="56" t="str">
        <f t="shared" si="4"/>
        <v/>
      </c>
      <c r="I78" s="32" t="str">
        <f t="shared" si="5"/>
        <v>Pendiente</v>
      </c>
    </row>
    <row r="79" spans="2:9" ht="18" customHeight="1" x14ac:dyDescent="0.35">
      <c r="B79" s="52">
        <v>57</v>
      </c>
      <c r="C79" s="53">
        <v>2030</v>
      </c>
      <c r="D79" s="54" t="s">
        <v>235</v>
      </c>
      <c r="E79" s="65"/>
      <c r="F79" s="66"/>
      <c r="G79" s="67">
        <f t="shared" si="3"/>
        <v>8000</v>
      </c>
      <c r="H79" s="56" t="str">
        <f t="shared" si="4"/>
        <v/>
      </c>
      <c r="I79" s="32" t="str">
        <f t="shared" si="5"/>
        <v>Pendiente</v>
      </c>
    </row>
    <row r="80" spans="2:9" ht="18" customHeight="1" x14ac:dyDescent="0.35">
      <c r="B80" s="52">
        <v>58</v>
      </c>
      <c r="C80" s="53">
        <v>2030</v>
      </c>
      <c r="D80" s="54" t="s">
        <v>236</v>
      </c>
      <c r="E80" s="65"/>
      <c r="F80" s="66"/>
      <c r="G80" s="67">
        <f t="shared" si="3"/>
        <v>8000</v>
      </c>
      <c r="H80" s="56" t="str">
        <f t="shared" si="4"/>
        <v/>
      </c>
      <c r="I80" s="32" t="str">
        <f t="shared" si="5"/>
        <v>Pendiente</v>
      </c>
    </row>
    <row r="81" spans="2:9" ht="18" customHeight="1" x14ac:dyDescent="0.35">
      <c r="B81" s="52">
        <v>59</v>
      </c>
      <c r="C81" s="53">
        <v>2030</v>
      </c>
      <c r="D81" s="54" t="s">
        <v>237</v>
      </c>
      <c r="E81" s="65"/>
      <c r="F81" s="66"/>
      <c r="G81" s="67">
        <f t="shared" si="3"/>
        <v>8000</v>
      </c>
      <c r="H81" s="56" t="str">
        <f t="shared" si="4"/>
        <v/>
      </c>
      <c r="I81" s="32" t="str">
        <f t="shared" si="5"/>
        <v>Pendiente</v>
      </c>
    </row>
    <row r="82" spans="2:9" ht="18" customHeight="1" x14ac:dyDescent="0.35">
      <c r="B82" s="52">
        <v>60</v>
      </c>
      <c r="C82" s="53">
        <v>2030</v>
      </c>
      <c r="D82" s="54" t="s">
        <v>238</v>
      </c>
      <c r="E82" s="68"/>
      <c r="F82" s="69" t="str">
        <f>IF(E82="","",E82)</f>
        <v/>
      </c>
      <c r="G82" s="67">
        <f t="shared" si="3"/>
        <v>8000</v>
      </c>
      <c r="H82" s="56" t="str">
        <f t="shared" si="4"/>
        <v/>
      </c>
      <c r="I82" s="32" t="str">
        <f t="shared" si="5"/>
        <v>Pendiente</v>
      </c>
    </row>
  </sheetData>
  <mergeCells count="29">
    <mergeCell ref="E16:I16"/>
    <mergeCell ref="B5:C5"/>
    <mergeCell ref="B20:I20"/>
    <mergeCell ref="C13:D13"/>
    <mergeCell ref="C18:D18"/>
    <mergeCell ref="E18:I18"/>
    <mergeCell ref="E17:I17"/>
    <mergeCell ref="B12:I12"/>
    <mergeCell ref="B21:I21"/>
    <mergeCell ref="C16:D16"/>
    <mergeCell ref="B2:I2"/>
    <mergeCell ref="D9:I9"/>
    <mergeCell ref="E13:I13"/>
    <mergeCell ref="B8:C8"/>
    <mergeCell ref="D8:I8"/>
    <mergeCell ref="E15:I15"/>
    <mergeCell ref="D5:I5"/>
    <mergeCell ref="B10:C10"/>
    <mergeCell ref="B9:C9"/>
    <mergeCell ref="C17:D17"/>
    <mergeCell ref="B6:C6"/>
    <mergeCell ref="D10:I10"/>
    <mergeCell ref="B7:C7"/>
    <mergeCell ref="C15:D15"/>
    <mergeCell ref="B3:I3"/>
    <mergeCell ref="C14:D14"/>
    <mergeCell ref="E14:I14"/>
    <mergeCell ref="D7:I7"/>
    <mergeCell ref="D6:I6"/>
  </mergeCells>
  <conditionalFormatting sqref="H23:H82">
    <cfRule type="expression" dxfId="83" priority="2">
      <formula>AND(ISNUMBER(H23),H23&gt;=0.95)</formula>
    </cfRule>
    <cfRule type="expression" dxfId="82" priority="3">
      <formula>AND(ISNUMBER(H23),H23&gt;=0.8,H23&lt;0.95)</formula>
    </cfRule>
    <cfRule type="expression" dxfId="81" priority="4">
      <formula>AND(ISNUMBER(H23),H23&lt;0.8)</formula>
    </cfRule>
  </conditionalFormatting>
  <conditionalFormatting sqref="I23:I82">
    <cfRule type="expression" dxfId="80" priority="5">
      <formula>I23="Cumple"</formula>
    </cfRule>
    <cfRule type="expression" dxfId="79" priority="6">
      <formula>I23="En riesgo"</formula>
    </cfRule>
    <cfRule type="expression" dxfId="78" priority="7">
      <formula>I23="Crítico"</formula>
    </cfRule>
    <cfRule type="expression" dxfId="77" priority="8">
      <formula>I23="Pendiente"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A14B"/>
  </sheetPr>
  <dimension ref="B2:K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7" width="22" customWidth="1"/>
    <col min="8" max="8" width="15" customWidth="1"/>
    <col min="9" max="9" width="12" customWidth="1"/>
    <col min="10" max="11" width="13" customWidth="1"/>
  </cols>
  <sheetData>
    <row r="2" spans="2:11" ht="27.75" customHeight="1" x14ac:dyDescent="0.35">
      <c r="B2" s="104" t="s">
        <v>279</v>
      </c>
      <c r="C2" s="72"/>
      <c r="D2" s="72"/>
      <c r="E2" s="72"/>
      <c r="F2" s="72"/>
      <c r="G2" s="72"/>
      <c r="H2" s="72"/>
      <c r="I2" s="72"/>
      <c r="J2" s="72"/>
      <c r="K2" s="72"/>
    </row>
    <row r="3" spans="2:11" ht="18" customHeight="1" x14ac:dyDescent="0.35">
      <c r="B3" s="102" t="s">
        <v>280</v>
      </c>
      <c r="C3" s="72"/>
      <c r="D3" s="72"/>
      <c r="E3" s="72"/>
      <c r="F3" s="72"/>
      <c r="G3" s="72"/>
      <c r="H3" s="72"/>
      <c r="I3" s="72"/>
      <c r="J3" s="72"/>
      <c r="K3" s="72"/>
    </row>
    <row r="5" spans="2:11" ht="25.5" customHeight="1" x14ac:dyDescent="0.35">
      <c r="B5" s="88" t="s">
        <v>113</v>
      </c>
      <c r="C5" s="81"/>
      <c r="D5" s="89" t="s">
        <v>174</v>
      </c>
      <c r="E5" s="80"/>
      <c r="F5" s="80"/>
      <c r="G5" s="80"/>
      <c r="H5" s="80"/>
      <c r="I5" s="80"/>
      <c r="J5" s="80"/>
      <c r="K5" s="81"/>
    </row>
    <row r="6" spans="2:11" ht="25.5" customHeight="1" x14ac:dyDescent="0.35">
      <c r="B6" s="88" t="s">
        <v>114</v>
      </c>
      <c r="C6" s="81"/>
      <c r="D6" s="89" t="s">
        <v>175</v>
      </c>
      <c r="E6" s="80"/>
      <c r="F6" s="80"/>
      <c r="G6" s="80"/>
      <c r="H6" s="80"/>
      <c r="I6" s="80"/>
      <c r="J6" s="80"/>
      <c r="K6" s="81"/>
    </row>
    <row r="7" spans="2:11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0"/>
      <c r="K7" s="81"/>
    </row>
    <row r="8" spans="2:11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0"/>
      <c r="K8" s="81"/>
    </row>
    <row r="9" spans="2:11" ht="19.5" customHeight="1" x14ac:dyDescent="0.35">
      <c r="B9" s="88" t="s">
        <v>33</v>
      </c>
      <c r="C9" s="81"/>
      <c r="D9" s="89" t="s">
        <v>73</v>
      </c>
      <c r="E9" s="80"/>
      <c r="F9" s="80"/>
      <c r="G9" s="80"/>
      <c r="H9" s="80"/>
      <c r="I9" s="80"/>
      <c r="J9" s="80"/>
      <c r="K9" s="81"/>
    </row>
    <row r="10" spans="2:11" ht="19.5" customHeight="1" x14ac:dyDescent="0.35">
      <c r="B10" s="88" t="s">
        <v>117</v>
      </c>
      <c r="C10" s="81"/>
      <c r="D10" s="93" t="str">
        <f>VLOOKUP("IND-15",Parámetros!$B$6:$F$30,5,FALSE())</f>
        <v>Por definir</v>
      </c>
      <c r="E10" s="80"/>
      <c r="F10" s="80"/>
      <c r="G10" s="80"/>
      <c r="H10" s="80"/>
      <c r="I10" s="80"/>
      <c r="J10" s="80"/>
      <c r="K10" s="81"/>
    </row>
    <row r="12" spans="2:11" ht="19.5" customHeight="1" x14ac:dyDescent="0.35">
      <c r="B12" s="103" t="s">
        <v>215</v>
      </c>
      <c r="C12" s="72"/>
      <c r="D12" s="72"/>
      <c r="E12" s="72"/>
      <c r="F12" s="72"/>
      <c r="G12" s="72"/>
      <c r="H12" s="72"/>
      <c r="I12" s="72"/>
      <c r="J12" s="72"/>
      <c r="K12" s="72"/>
    </row>
    <row r="13" spans="2:11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0"/>
      <c r="K13" s="81"/>
    </row>
    <row r="14" spans="2:11" ht="19.5" customHeight="1" x14ac:dyDescent="0.35">
      <c r="B14" s="51">
        <v>2026</v>
      </c>
      <c r="C14" s="91">
        <v>0.98</v>
      </c>
      <c r="D14" s="81"/>
      <c r="E14" s="92"/>
      <c r="F14" s="80"/>
      <c r="G14" s="80"/>
      <c r="H14" s="80"/>
      <c r="I14" s="80"/>
      <c r="J14" s="80"/>
      <c r="K14" s="80"/>
    </row>
    <row r="15" spans="2:11" ht="19.5" customHeight="1" x14ac:dyDescent="0.35">
      <c r="B15" s="51">
        <v>2027</v>
      </c>
      <c r="C15" s="91">
        <v>0.98</v>
      </c>
      <c r="D15" s="81"/>
      <c r="E15" s="92"/>
      <c r="F15" s="80"/>
      <c r="G15" s="80"/>
      <c r="H15" s="80"/>
      <c r="I15" s="80"/>
      <c r="J15" s="80"/>
      <c r="K15" s="80"/>
    </row>
    <row r="16" spans="2:11" ht="19.5" customHeight="1" x14ac:dyDescent="0.35">
      <c r="B16" s="51">
        <v>2028</v>
      </c>
      <c r="C16" s="91">
        <v>0.98</v>
      </c>
      <c r="D16" s="81"/>
      <c r="E16" s="92"/>
      <c r="F16" s="80"/>
      <c r="G16" s="80"/>
      <c r="H16" s="80"/>
      <c r="I16" s="80"/>
      <c r="J16" s="80"/>
      <c r="K16" s="80"/>
    </row>
    <row r="17" spans="2:11" ht="19.5" customHeight="1" x14ac:dyDescent="0.35">
      <c r="B17" s="51">
        <v>2029</v>
      </c>
      <c r="C17" s="91">
        <v>0.98</v>
      </c>
      <c r="D17" s="81"/>
      <c r="E17" s="92"/>
      <c r="F17" s="80"/>
      <c r="G17" s="80"/>
      <c r="H17" s="80"/>
      <c r="I17" s="80"/>
      <c r="J17" s="80"/>
      <c r="K17" s="80"/>
    </row>
    <row r="18" spans="2:11" ht="19.5" customHeight="1" x14ac:dyDescent="0.35">
      <c r="B18" s="51">
        <v>2030</v>
      </c>
      <c r="C18" s="91">
        <v>0.98</v>
      </c>
      <c r="D18" s="81"/>
      <c r="E18" s="92"/>
      <c r="F18" s="80"/>
      <c r="G18" s="80"/>
      <c r="H18" s="80"/>
      <c r="I18" s="80"/>
      <c r="J18" s="80"/>
      <c r="K18" s="80"/>
    </row>
    <row r="20" spans="2:11" ht="19.5" customHeight="1" x14ac:dyDescent="0.35">
      <c r="B20" s="105" t="s">
        <v>218</v>
      </c>
      <c r="C20" s="72"/>
      <c r="D20" s="72"/>
      <c r="E20" s="72"/>
      <c r="F20" s="72"/>
      <c r="G20" s="72"/>
      <c r="H20" s="72"/>
      <c r="I20" s="72"/>
      <c r="J20" s="72"/>
      <c r="K20" s="72"/>
    </row>
    <row r="21" spans="2:11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  <c r="K21" s="72"/>
    </row>
    <row r="22" spans="2:11" ht="30" customHeight="1" x14ac:dyDescent="0.35">
      <c r="B22" s="21" t="s">
        <v>220</v>
      </c>
      <c r="C22" s="21" t="s">
        <v>208</v>
      </c>
      <c r="D22" s="21" t="s">
        <v>209</v>
      </c>
      <c r="E22" s="21" t="s">
        <v>281</v>
      </c>
      <c r="F22" s="21" t="s">
        <v>282</v>
      </c>
      <c r="G22" s="21" t="s">
        <v>283</v>
      </c>
      <c r="H22" s="21" t="s">
        <v>223</v>
      </c>
      <c r="I22" s="21" t="s">
        <v>224</v>
      </c>
      <c r="J22" s="21" t="s">
        <v>225</v>
      </c>
      <c r="K22" s="21" t="s">
        <v>226</v>
      </c>
    </row>
    <row r="23" spans="2:11" ht="18" customHeight="1" x14ac:dyDescent="0.35">
      <c r="B23" s="52">
        <v>1</v>
      </c>
      <c r="C23" s="53">
        <v>2026</v>
      </c>
      <c r="D23" s="54" t="s">
        <v>227</v>
      </c>
      <c r="E23" s="65"/>
      <c r="F23" s="65"/>
      <c r="G23" s="65"/>
      <c r="H23" s="66"/>
      <c r="I23" s="57">
        <f t="shared" ref="I23:I54" si="0">IFERROR(VLOOKUP(C23,$B$14:$C$18,2,FALSE()),"")</f>
        <v>0.98</v>
      </c>
      <c r="J23" s="56" t="str">
        <f t="shared" ref="J23:J54" si="1">IFERROR(IF(OR(H23="",NOT(ISNUMBER(I23))),"",H23/I23),"")</f>
        <v/>
      </c>
      <c r="K23" s="32" t="str">
        <f t="shared" ref="K23:K54" si="2">IFERROR(IF(J23="","Pendiente",IF(J23&gt;=0.95,"Cumple",IF(J23&gt;=0.8,"En riesgo","Crítico"))),"Pendiente")</f>
        <v>Pendiente</v>
      </c>
    </row>
    <row r="24" spans="2:11" ht="18" customHeight="1" x14ac:dyDescent="0.35">
      <c r="B24" s="52">
        <v>2</v>
      </c>
      <c r="C24" s="53">
        <v>2026</v>
      </c>
      <c r="D24" s="54" t="s">
        <v>228</v>
      </c>
      <c r="E24" s="65"/>
      <c r="F24" s="65"/>
      <c r="G24" s="65"/>
      <c r="H24" s="66"/>
      <c r="I24" s="57">
        <f t="shared" si="0"/>
        <v>0.98</v>
      </c>
      <c r="J24" s="56" t="str">
        <f t="shared" si="1"/>
        <v/>
      </c>
      <c r="K24" s="32" t="str">
        <f t="shared" si="2"/>
        <v>Pendiente</v>
      </c>
    </row>
    <row r="25" spans="2:11" ht="18" customHeight="1" x14ac:dyDescent="0.35">
      <c r="B25" s="52">
        <v>3</v>
      </c>
      <c r="C25" s="53">
        <v>2026</v>
      </c>
      <c r="D25" s="54" t="s">
        <v>229</v>
      </c>
      <c r="E25" s="65"/>
      <c r="F25" s="65"/>
      <c r="G25" s="65"/>
      <c r="H25" s="66"/>
      <c r="I25" s="57">
        <f t="shared" si="0"/>
        <v>0.98</v>
      </c>
      <c r="J25" s="56" t="str">
        <f t="shared" si="1"/>
        <v/>
      </c>
      <c r="K25" s="32" t="str">
        <f t="shared" si="2"/>
        <v>Pendiente</v>
      </c>
    </row>
    <row r="26" spans="2:11" ht="18" customHeight="1" x14ac:dyDescent="0.35">
      <c r="B26" s="52">
        <v>4</v>
      </c>
      <c r="C26" s="53">
        <v>2026</v>
      </c>
      <c r="D26" s="54" t="s">
        <v>230</v>
      </c>
      <c r="E26" s="65"/>
      <c r="F26" s="65"/>
      <c r="G26" s="65"/>
      <c r="H26" s="66"/>
      <c r="I26" s="57">
        <f t="shared" si="0"/>
        <v>0.98</v>
      </c>
      <c r="J26" s="56" t="str">
        <f t="shared" si="1"/>
        <v/>
      </c>
      <c r="K26" s="32" t="str">
        <f t="shared" si="2"/>
        <v>Pendiente</v>
      </c>
    </row>
    <row r="27" spans="2:11" ht="18" customHeight="1" x14ac:dyDescent="0.35">
      <c r="B27" s="52">
        <v>5</v>
      </c>
      <c r="C27" s="53">
        <v>2026</v>
      </c>
      <c r="D27" s="54" t="s">
        <v>231</v>
      </c>
      <c r="E27" s="65"/>
      <c r="F27" s="65"/>
      <c r="G27" s="65"/>
      <c r="H27" s="66"/>
      <c r="I27" s="57">
        <f t="shared" si="0"/>
        <v>0.98</v>
      </c>
      <c r="J27" s="56" t="str">
        <f t="shared" si="1"/>
        <v/>
      </c>
      <c r="K27" s="32" t="str">
        <f t="shared" si="2"/>
        <v>Pendiente</v>
      </c>
    </row>
    <row r="28" spans="2:11" ht="18" customHeight="1" x14ac:dyDescent="0.35">
      <c r="B28" s="52">
        <v>6</v>
      </c>
      <c r="C28" s="53">
        <v>2026</v>
      </c>
      <c r="D28" s="54" t="s">
        <v>232</v>
      </c>
      <c r="E28" s="65"/>
      <c r="F28" s="65"/>
      <c r="G28" s="65"/>
      <c r="H28" s="66"/>
      <c r="I28" s="57">
        <f t="shared" si="0"/>
        <v>0.98</v>
      </c>
      <c r="J28" s="56" t="str">
        <f t="shared" si="1"/>
        <v/>
      </c>
      <c r="K28" s="32" t="str">
        <f t="shared" si="2"/>
        <v>Pendiente</v>
      </c>
    </row>
    <row r="29" spans="2:11" ht="18" customHeight="1" x14ac:dyDescent="0.35">
      <c r="B29" s="52">
        <v>7</v>
      </c>
      <c r="C29" s="53">
        <v>2026</v>
      </c>
      <c r="D29" s="54" t="s">
        <v>233</v>
      </c>
      <c r="E29" s="65"/>
      <c r="F29" s="65"/>
      <c r="G29" s="65"/>
      <c r="H29" s="66"/>
      <c r="I29" s="57">
        <f t="shared" si="0"/>
        <v>0.98</v>
      </c>
      <c r="J29" s="56" t="str">
        <f t="shared" si="1"/>
        <v/>
      </c>
      <c r="K29" s="32" t="str">
        <f t="shared" si="2"/>
        <v>Pendiente</v>
      </c>
    </row>
    <row r="30" spans="2:11" ht="18" customHeight="1" x14ac:dyDescent="0.35">
      <c r="B30" s="52">
        <v>8</v>
      </c>
      <c r="C30" s="53">
        <v>2026</v>
      </c>
      <c r="D30" s="54" t="s">
        <v>234</v>
      </c>
      <c r="E30" s="65"/>
      <c r="F30" s="65"/>
      <c r="G30" s="65"/>
      <c r="H30" s="66"/>
      <c r="I30" s="57">
        <f t="shared" si="0"/>
        <v>0.98</v>
      </c>
      <c r="J30" s="56" t="str">
        <f t="shared" si="1"/>
        <v/>
      </c>
      <c r="K30" s="32" t="str">
        <f t="shared" si="2"/>
        <v>Pendiente</v>
      </c>
    </row>
    <row r="31" spans="2:11" ht="18" customHeight="1" x14ac:dyDescent="0.35">
      <c r="B31" s="52">
        <v>9</v>
      </c>
      <c r="C31" s="53">
        <v>2026</v>
      </c>
      <c r="D31" s="54" t="s">
        <v>235</v>
      </c>
      <c r="E31" s="65"/>
      <c r="F31" s="65"/>
      <c r="G31" s="65"/>
      <c r="H31" s="66"/>
      <c r="I31" s="57">
        <f t="shared" si="0"/>
        <v>0.98</v>
      </c>
      <c r="J31" s="56" t="str">
        <f t="shared" si="1"/>
        <v/>
      </c>
      <c r="K31" s="32" t="str">
        <f t="shared" si="2"/>
        <v>Pendiente</v>
      </c>
    </row>
    <row r="32" spans="2:11" ht="18" customHeight="1" x14ac:dyDescent="0.35">
      <c r="B32" s="52">
        <v>10</v>
      </c>
      <c r="C32" s="53">
        <v>2026</v>
      </c>
      <c r="D32" s="54" t="s">
        <v>236</v>
      </c>
      <c r="E32" s="65"/>
      <c r="F32" s="65"/>
      <c r="G32" s="65"/>
      <c r="H32" s="66"/>
      <c r="I32" s="57">
        <f t="shared" si="0"/>
        <v>0.98</v>
      </c>
      <c r="J32" s="56" t="str">
        <f t="shared" si="1"/>
        <v/>
      </c>
      <c r="K32" s="32" t="str">
        <f t="shared" si="2"/>
        <v>Pendiente</v>
      </c>
    </row>
    <row r="33" spans="2:11" ht="18" customHeight="1" x14ac:dyDescent="0.35">
      <c r="B33" s="52">
        <v>11</v>
      </c>
      <c r="C33" s="53">
        <v>2026</v>
      </c>
      <c r="D33" s="54" t="s">
        <v>237</v>
      </c>
      <c r="E33" s="65"/>
      <c r="F33" s="65"/>
      <c r="G33" s="65"/>
      <c r="H33" s="66"/>
      <c r="I33" s="57">
        <f t="shared" si="0"/>
        <v>0.98</v>
      </c>
      <c r="J33" s="56" t="str">
        <f t="shared" si="1"/>
        <v/>
      </c>
      <c r="K33" s="32" t="str">
        <f t="shared" si="2"/>
        <v>Pendiente</v>
      </c>
    </row>
    <row r="34" spans="2:11" ht="18" customHeight="1" x14ac:dyDescent="0.35">
      <c r="B34" s="52">
        <v>12</v>
      </c>
      <c r="C34" s="53">
        <v>2026</v>
      </c>
      <c r="D34" s="54" t="s">
        <v>238</v>
      </c>
      <c r="E34" s="68"/>
      <c r="F34" s="68"/>
      <c r="G34" s="68"/>
      <c r="H34" s="56" t="str">
        <f>IFERROR(IF(G34=0,"",(E34+F34)/G34),"")</f>
        <v/>
      </c>
      <c r="I34" s="57">
        <f t="shared" si="0"/>
        <v>0.98</v>
      </c>
      <c r="J34" s="56" t="str">
        <f t="shared" si="1"/>
        <v/>
      </c>
      <c r="K34" s="32" t="str">
        <f t="shared" si="2"/>
        <v>Pendiente</v>
      </c>
    </row>
    <row r="35" spans="2:11" ht="18" customHeight="1" x14ac:dyDescent="0.35">
      <c r="B35" s="52">
        <v>13</v>
      </c>
      <c r="C35" s="53">
        <v>2027</v>
      </c>
      <c r="D35" s="54" t="s">
        <v>227</v>
      </c>
      <c r="E35" s="65"/>
      <c r="F35" s="65"/>
      <c r="G35" s="65"/>
      <c r="H35" s="66"/>
      <c r="I35" s="57">
        <f t="shared" si="0"/>
        <v>0.98</v>
      </c>
      <c r="J35" s="56" t="str">
        <f t="shared" si="1"/>
        <v/>
      </c>
      <c r="K35" s="32" t="str">
        <f t="shared" si="2"/>
        <v>Pendiente</v>
      </c>
    </row>
    <row r="36" spans="2:11" ht="18" customHeight="1" x14ac:dyDescent="0.35">
      <c r="B36" s="52">
        <v>14</v>
      </c>
      <c r="C36" s="53">
        <v>2027</v>
      </c>
      <c r="D36" s="54" t="s">
        <v>228</v>
      </c>
      <c r="E36" s="65"/>
      <c r="F36" s="65"/>
      <c r="G36" s="65"/>
      <c r="H36" s="66"/>
      <c r="I36" s="57">
        <f t="shared" si="0"/>
        <v>0.98</v>
      </c>
      <c r="J36" s="56" t="str">
        <f t="shared" si="1"/>
        <v/>
      </c>
      <c r="K36" s="32" t="str">
        <f t="shared" si="2"/>
        <v>Pendiente</v>
      </c>
    </row>
    <row r="37" spans="2:11" ht="18" customHeight="1" x14ac:dyDescent="0.35">
      <c r="B37" s="52">
        <v>15</v>
      </c>
      <c r="C37" s="53">
        <v>2027</v>
      </c>
      <c r="D37" s="54" t="s">
        <v>229</v>
      </c>
      <c r="E37" s="65"/>
      <c r="F37" s="65"/>
      <c r="G37" s="65"/>
      <c r="H37" s="66"/>
      <c r="I37" s="57">
        <f t="shared" si="0"/>
        <v>0.98</v>
      </c>
      <c r="J37" s="56" t="str">
        <f t="shared" si="1"/>
        <v/>
      </c>
      <c r="K37" s="32" t="str">
        <f t="shared" si="2"/>
        <v>Pendiente</v>
      </c>
    </row>
    <row r="38" spans="2:11" ht="18" customHeight="1" x14ac:dyDescent="0.35">
      <c r="B38" s="52">
        <v>16</v>
      </c>
      <c r="C38" s="53">
        <v>2027</v>
      </c>
      <c r="D38" s="54" t="s">
        <v>230</v>
      </c>
      <c r="E38" s="65"/>
      <c r="F38" s="65"/>
      <c r="G38" s="65"/>
      <c r="H38" s="66"/>
      <c r="I38" s="57">
        <f t="shared" si="0"/>
        <v>0.98</v>
      </c>
      <c r="J38" s="56" t="str">
        <f t="shared" si="1"/>
        <v/>
      </c>
      <c r="K38" s="32" t="str">
        <f t="shared" si="2"/>
        <v>Pendiente</v>
      </c>
    </row>
    <row r="39" spans="2:11" ht="18" customHeight="1" x14ac:dyDescent="0.35">
      <c r="B39" s="52">
        <v>17</v>
      </c>
      <c r="C39" s="53">
        <v>2027</v>
      </c>
      <c r="D39" s="54" t="s">
        <v>231</v>
      </c>
      <c r="E39" s="65"/>
      <c r="F39" s="65"/>
      <c r="G39" s="65"/>
      <c r="H39" s="66"/>
      <c r="I39" s="57">
        <f t="shared" si="0"/>
        <v>0.98</v>
      </c>
      <c r="J39" s="56" t="str">
        <f t="shared" si="1"/>
        <v/>
      </c>
      <c r="K39" s="32" t="str">
        <f t="shared" si="2"/>
        <v>Pendiente</v>
      </c>
    </row>
    <row r="40" spans="2:11" ht="18" customHeight="1" x14ac:dyDescent="0.35">
      <c r="B40" s="52">
        <v>18</v>
      </c>
      <c r="C40" s="53">
        <v>2027</v>
      </c>
      <c r="D40" s="54" t="s">
        <v>232</v>
      </c>
      <c r="E40" s="65"/>
      <c r="F40" s="65"/>
      <c r="G40" s="65"/>
      <c r="H40" s="66"/>
      <c r="I40" s="57">
        <f t="shared" si="0"/>
        <v>0.98</v>
      </c>
      <c r="J40" s="56" t="str">
        <f t="shared" si="1"/>
        <v/>
      </c>
      <c r="K40" s="32" t="str">
        <f t="shared" si="2"/>
        <v>Pendiente</v>
      </c>
    </row>
    <row r="41" spans="2:11" ht="18" customHeight="1" x14ac:dyDescent="0.35">
      <c r="B41" s="52">
        <v>19</v>
      </c>
      <c r="C41" s="53">
        <v>2027</v>
      </c>
      <c r="D41" s="54" t="s">
        <v>233</v>
      </c>
      <c r="E41" s="65"/>
      <c r="F41" s="65"/>
      <c r="G41" s="65"/>
      <c r="H41" s="66"/>
      <c r="I41" s="57">
        <f t="shared" si="0"/>
        <v>0.98</v>
      </c>
      <c r="J41" s="56" t="str">
        <f t="shared" si="1"/>
        <v/>
      </c>
      <c r="K41" s="32" t="str">
        <f t="shared" si="2"/>
        <v>Pendiente</v>
      </c>
    </row>
    <row r="42" spans="2:11" ht="18" customHeight="1" x14ac:dyDescent="0.35">
      <c r="B42" s="52">
        <v>20</v>
      </c>
      <c r="C42" s="53">
        <v>2027</v>
      </c>
      <c r="D42" s="54" t="s">
        <v>234</v>
      </c>
      <c r="E42" s="65"/>
      <c r="F42" s="65"/>
      <c r="G42" s="65"/>
      <c r="H42" s="66"/>
      <c r="I42" s="57">
        <f t="shared" si="0"/>
        <v>0.98</v>
      </c>
      <c r="J42" s="56" t="str">
        <f t="shared" si="1"/>
        <v/>
      </c>
      <c r="K42" s="32" t="str">
        <f t="shared" si="2"/>
        <v>Pendiente</v>
      </c>
    </row>
    <row r="43" spans="2:11" ht="18" customHeight="1" x14ac:dyDescent="0.35">
      <c r="B43" s="52">
        <v>21</v>
      </c>
      <c r="C43" s="53">
        <v>2027</v>
      </c>
      <c r="D43" s="54" t="s">
        <v>235</v>
      </c>
      <c r="E43" s="65"/>
      <c r="F43" s="65"/>
      <c r="G43" s="65"/>
      <c r="H43" s="66"/>
      <c r="I43" s="57">
        <f t="shared" si="0"/>
        <v>0.98</v>
      </c>
      <c r="J43" s="56" t="str">
        <f t="shared" si="1"/>
        <v/>
      </c>
      <c r="K43" s="32" t="str">
        <f t="shared" si="2"/>
        <v>Pendiente</v>
      </c>
    </row>
    <row r="44" spans="2:11" ht="18" customHeight="1" x14ac:dyDescent="0.35">
      <c r="B44" s="52">
        <v>22</v>
      </c>
      <c r="C44" s="53">
        <v>2027</v>
      </c>
      <c r="D44" s="54" t="s">
        <v>236</v>
      </c>
      <c r="E44" s="65"/>
      <c r="F44" s="65"/>
      <c r="G44" s="65"/>
      <c r="H44" s="66"/>
      <c r="I44" s="57">
        <f t="shared" si="0"/>
        <v>0.98</v>
      </c>
      <c r="J44" s="56" t="str">
        <f t="shared" si="1"/>
        <v/>
      </c>
      <c r="K44" s="32" t="str">
        <f t="shared" si="2"/>
        <v>Pendiente</v>
      </c>
    </row>
    <row r="45" spans="2:11" ht="18" customHeight="1" x14ac:dyDescent="0.35">
      <c r="B45" s="52">
        <v>23</v>
      </c>
      <c r="C45" s="53">
        <v>2027</v>
      </c>
      <c r="D45" s="54" t="s">
        <v>237</v>
      </c>
      <c r="E45" s="65"/>
      <c r="F45" s="65"/>
      <c r="G45" s="65"/>
      <c r="H45" s="66"/>
      <c r="I45" s="57">
        <f t="shared" si="0"/>
        <v>0.98</v>
      </c>
      <c r="J45" s="56" t="str">
        <f t="shared" si="1"/>
        <v/>
      </c>
      <c r="K45" s="32" t="str">
        <f t="shared" si="2"/>
        <v>Pendiente</v>
      </c>
    </row>
    <row r="46" spans="2:11" ht="18" customHeight="1" x14ac:dyDescent="0.35">
      <c r="B46" s="52">
        <v>24</v>
      </c>
      <c r="C46" s="53">
        <v>2027</v>
      </c>
      <c r="D46" s="54" t="s">
        <v>238</v>
      </c>
      <c r="E46" s="68"/>
      <c r="F46" s="68"/>
      <c r="G46" s="68"/>
      <c r="H46" s="56" t="str">
        <f>IFERROR(IF(G46=0,"",(E46+F46)/G46),"")</f>
        <v/>
      </c>
      <c r="I46" s="57">
        <f t="shared" si="0"/>
        <v>0.98</v>
      </c>
      <c r="J46" s="56" t="str">
        <f t="shared" si="1"/>
        <v/>
      </c>
      <c r="K46" s="32" t="str">
        <f t="shared" si="2"/>
        <v>Pendiente</v>
      </c>
    </row>
    <row r="47" spans="2:11" ht="18" customHeight="1" x14ac:dyDescent="0.35">
      <c r="B47" s="52">
        <v>25</v>
      </c>
      <c r="C47" s="53">
        <v>2028</v>
      </c>
      <c r="D47" s="54" t="s">
        <v>227</v>
      </c>
      <c r="E47" s="65"/>
      <c r="F47" s="65"/>
      <c r="G47" s="65"/>
      <c r="H47" s="66"/>
      <c r="I47" s="57">
        <f t="shared" si="0"/>
        <v>0.98</v>
      </c>
      <c r="J47" s="56" t="str">
        <f t="shared" si="1"/>
        <v/>
      </c>
      <c r="K47" s="32" t="str">
        <f t="shared" si="2"/>
        <v>Pendiente</v>
      </c>
    </row>
    <row r="48" spans="2:11" ht="18" customHeight="1" x14ac:dyDescent="0.35">
      <c r="B48" s="52">
        <v>26</v>
      </c>
      <c r="C48" s="53">
        <v>2028</v>
      </c>
      <c r="D48" s="54" t="s">
        <v>228</v>
      </c>
      <c r="E48" s="65"/>
      <c r="F48" s="65"/>
      <c r="G48" s="65"/>
      <c r="H48" s="66"/>
      <c r="I48" s="57">
        <f t="shared" si="0"/>
        <v>0.98</v>
      </c>
      <c r="J48" s="56" t="str">
        <f t="shared" si="1"/>
        <v/>
      </c>
      <c r="K48" s="32" t="str">
        <f t="shared" si="2"/>
        <v>Pendiente</v>
      </c>
    </row>
    <row r="49" spans="2:11" ht="18" customHeight="1" x14ac:dyDescent="0.35">
      <c r="B49" s="52">
        <v>27</v>
      </c>
      <c r="C49" s="53">
        <v>2028</v>
      </c>
      <c r="D49" s="54" t="s">
        <v>229</v>
      </c>
      <c r="E49" s="65"/>
      <c r="F49" s="65"/>
      <c r="G49" s="65"/>
      <c r="H49" s="66"/>
      <c r="I49" s="57">
        <f t="shared" si="0"/>
        <v>0.98</v>
      </c>
      <c r="J49" s="56" t="str">
        <f t="shared" si="1"/>
        <v/>
      </c>
      <c r="K49" s="32" t="str">
        <f t="shared" si="2"/>
        <v>Pendiente</v>
      </c>
    </row>
    <row r="50" spans="2:11" ht="18" customHeight="1" x14ac:dyDescent="0.35">
      <c r="B50" s="52">
        <v>28</v>
      </c>
      <c r="C50" s="53">
        <v>2028</v>
      </c>
      <c r="D50" s="54" t="s">
        <v>230</v>
      </c>
      <c r="E50" s="65"/>
      <c r="F50" s="65"/>
      <c r="G50" s="65"/>
      <c r="H50" s="66"/>
      <c r="I50" s="57">
        <f t="shared" si="0"/>
        <v>0.98</v>
      </c>
      <c r="J50" s="56" t="str">
        <f t="shared" si="1"/>
        <v/>
      </c>
      <c r="K50" s="32" t="str">
        <f t="shared" si="2"/>
        <v>Pendiente</v>
      </c>
    </row>
    <row r="51" spans="2:11" ht="18" customHeight="1" x14ac:dyDescent="0.35">
      <c r="B51" s="52">
        <v>29</v>
      </c>
      <c r="C51" s="53">
        <v>2028</v>
      </c>
      <c r="D51" s="54" t="s">
        <v>231</v>
      </c>
      <c r="E51" s="65"/>
      <c r="F51" s="65"/>
      <c r="G51" s="65"/>
      <c r="H51" s="66"/>
      <c r="I51" s="57">
        <f t="shared" si="0"/>
        <v>0.98</v>
      </c>
      <c r="J51" s="56" t="str">
        <f t="shared" si="1"/>
        <v/>
      </c>
      <c r="K51" s="32" t="str">
        <f t="shared" si="2"/>
        <v>Pendiente</v>
      </c>
    </row>
    <row r="52" spans="2:11" ht="18" customHeight="1" x14ac:dyDescent="0.35">
      <c r="B52" s="52">
        <v>30</v>
      </c>
      <c r="C52" s="53">
        <v>2028</v>
      </c>
      <c r="D52" s="54" t="s">
        <v>232</v>
      </c>
      <c r="E52" s="65"/>
      <c r="F52" s="65"/>
      <c r="G52" s="65"/>
      <c r="H52" s="66"/>
      <c r="I52" s="57">
        <f t="shared" si="0"/>
        <v>0.98</v>
      </c>
      <c r="J52" s="56" t="str">
        <f t="shared" si="1"/>
        <v/>
      </c>
      <c r="K52" s="32" t="str">
        <f t="shared" si="2"/>
        <v>Pendiente</v>
      </c>
    </row>
    <row r="53" spans="2:11" ht="18" customHeight="1" x14ac:dyDescent="0.35">
      <c r="B53" s="52">
        <v>31</v>
      </c>
      <c r="C53" s="53">
        <v>2028</v>
      </c>
      <c r="D53" s="54" t="s">
        <v>233</v>
      </c>
      <c r="E53" s="65"/>
      <c r="F53" s="65"/>
      <c r="G53" s="65"/>
      <c r="H53" s="66"/>
      <c r="I53" s="57">
        <f t="shared" si="0"/>
        <v>0.98</v>
      </c>
      <c r="J53" s="56" t="str">
        <f t="shared" si="1"/>
        <v/>
      </c>
      <c r="K53" s="32" t="str">
        <f t="shared" si="2"/>
        <v>Pendiente</v>
      </c>
    </row>
    <row r="54" spans="2:11" ht="18" customHeight="1" x14ac:dyDescent="0.35">
      <c r="B54" s="52">
        <v>32</v>
      </c>
      <c r="C54" s="53">
        <v>2028</v>
      </c>
      <c r="D54" s="54" t="s">
        <v>234</v>
      </c>
      <c r="E54" s="65"/>
      <c r="F54" s="65"/>
      <c r="G54" s="65"/>
      <c r="H54" s="66"/>
      <c r="I54" s="57">
        <f t="shared" si="0"/>
        <v>0.98</v>
      </c>
      <c r="J54" s="56" t="str">
        <f t="shared" si="1"/>
        <v/>
      </c>
      <c r="K54" s="32" t="str">
        <f t="shared" si="2"/>
        <v>Pendiente</v>
      </c>
    </row>
    <row r="55" spans="2:11" ht="18" customHeight="1" x14ac:dyDescent="0.35">
      <c r="B55" s="52">
        <v>33</v>
      </c>
      <c r="C55" s="53">
        <v>2028</v>
      </c>
      <c r="D55" s="54" t="s">
        <v>235</v>
      </c>
      <c r="E55" s="65"/>
      <c r="F55" s="65"/>
      <c r="G55" s="65"/>
      <c r="H55" s="66"/>
      <c r="I55" s="57">
        <f t="shared" ref="I55:I82" si="3">IFERROR(VLOOKUP(C55,$B$14:$C$18,2,FALSE()),"")</f>
        <v>0.98</v>
      </c>
      <c r="J55" s="56" t="str">
        <f t="shared" ref="J55:J86" si="4">IFERROR(IF(OR(H55="",NOT(ISNUMBER(I55))),"",H55/I55),"")</f>
        <v/>
      </c>
      <c r="K55" s="32" t="str">
        <f t="shared" ref="K55:K86" si="5">IFERROR(IF(J55="","Pendiente",IF(J55&gt;=0.95,"Cumple",IF(J55&gt;=0.8,"En riesgo","Crítico"))),"Pendiente")</f>
        <v>Pendiente</v>
      </c>
    </row>
    <row r="56" spans="2:11" ht="18" customHeight="1" x14ac:dyDescent="0.35">
      <c r="B56" s="52">
        <v>34</v>
      </c>
      <c r="C56" s="53">
        <v>2028</v>
      </c>
      <c r="D56" s="54" t="s">
        <v>236</v>
      </c>
      <c r="E56" s="65"/>
      <c r="F56" s="65"/>
      <c r="G56" s="65"/>
      <c r="H56" s="66"/>
      <c r="I56" s="57">
        <f t="shared" si="3"/>
        <v>0.98</v>
      </c>
      <c r="J56" s="56" t="str">
        <f t="shared" si="4"/>
        <v/>
      </c>
      <c r="K56" s="32" t="str">
        <f t="shared" si="5"/>
        <v>Pendiente</v>
      </c>
    </row>
    <row r="57" spans="2:11" ht="18" customHeight="1" x14ac:dyDescent="0.35">
      <c r="B57" s="52">
        <v>35</v>
      </c>
      <c r="C57" s="53">
        <v>2028</v>
      </c>
      <c r="D57" s="54" t="s">
        <v>237</v>
      </c>
      <c r="E57" s="65"/>
      <c r="F57" s="65"/>
      <c r="G57" s="65"/>
      <c r="H57" s="66"/>
      <c r="I57" s="57">
        <f t="shared" si="3"/>
        <v>0.98</v>
      </c>
      <c r="J57" s="56" t="str">
        <f t="shared" si="4"/>
        <v/>
      </c>
      <c r="K57" s="32" t="str">
        <f t="shared" si="5"/>
        <v>Pendiente</v>
      </c>
    </row>
    <row r="58" spans="2:11" ht="18" customHeight="1" x14ac:dyDescent="0.35">
      <c r="B58" s="52">
        <v>36</v>
      </c>
      <c r="C58" s="53">
        <v>2028</v>
      </c>
      <c r="D58" s="54" t="s">
        <v>238</v>
      </c>
      <c r="E58" s="68"/>
      <c r="F58" s="68"/>
      <c r="G58" s="68"/>
      <c r="H58" s="56" t="str">
        <f>IFERROR(IF(G58=0,"",(E58+F58)/G58),"")</f>
        <v/>
      </c>
      <c r="I58" s="57">
        <f t="shared" si="3"/>
        <v>0.98</v>
      </c>
      <c r="J58" s="56" t="str">
        <f t="shared" si="4"/>
        <v/>
      </c>
      <c r="K58" s="32" t="str">
        <f t="shared" si="5"/>
        <v>Pendiente</v>
      </c>
    </row>
    <row r="59" spans="2:11" ht="18" customHeight="1" x14ac:dyDescent="0.35">
      <c r="B59" s="52">
        <v>37</v>
      </c>
      <c r="C59" s="53">
        <v>2029</v>
      </c>
      <c r="D59" s="54" t="s">
        <v>227</v>
      </c>
      <c r="E59" s="65"/>
      <c r="F59" s="65"/>
      <c r="G59" s="65"/>
      <c r="H59" s="66"/>
      <c r="I59" s="57">
        <f t="shared" si="3"/>
        <v>0.98</v>
      </c>
      <c r="J59" s="56" t="str">
        <f t="shared" si="4"/>
        <v/>
      </c>
      <c r="K59" s="32" t="str">
        <f t="shared" si="5"/>
        <v>Pendiente</v>
      </c>
    </row>
    <row r="60" spans="2:11" ht="18" customHeight="1" x14ac:dyDescent="0.35">
      <c r="B60" s="52">
        <v>38</v>
      </c>
      <c r="C60" s="53">
        <v>2029</v>
      </c>
      <c r="D60" s="54" t="s">
        <v>228</v>
      </c>
      <c r="E60" s="65"/>
      <c r="F60" s="65"/>
      <c r="G60" s="65"/>
      <c r="H60" s="66"/>
      <c r="I60" s="57">
        <f t="shared" si="3"/>
        <v>0.98</v>
      </c>
      <c r="J60" s="56" t="str">
        <f t="shared" si="4"/>
        <v/>
      </c>
      <c r="K60" s="32" t="str">
        <f t="shared" si="5"/>
        <v>Pendiente</v>
      </c>
    </row>
    <row r="61" spans="2:11" ht="18" customHeight="1" x14ac:dyDescent="0.35">
      <c r="B61" s="52">
        <v>39</v>
      </c>
      <c r="C61" s="53">
        <v>2029</v>
      </c>
      <c r="D61" s="54" t="s">
        <v>229</v>
      </c>
      <c r="E61" s="65"/>
      <c r="F61" s="65"/>
      <c r="G61" s="65"/>
      <c r="H61" s="66"/>
      <c r="I61" s="57">
        <f t="shared" si="3"/>
        <v>0.98</v>
      </c>
      <c r="J61" s="56" t="str">
        <f t="shared" si="4"/>
        <v/>
      </c>
      <c r="K61" s="32" t="str">
        <f t="shared" si="5"/>
        <v>Pendiente</v>
      </c>
    </row>
    <row r="62" spans="2:11" ht="18" customHeight="1" x14ac:dyDescent="0.35">
      <c r="B62" s="52">
        <v>40</v>
      </c>
      <c r="C62" s="53">
        <v>2029</v>
      </c>
      <c r="D62" s="54" t="s">
        <v>230</v>
      </c>
      <c r="E62" s="65"/>
      <c r="F62" s="65"/>
      <c r="G62" s="65"/>
      <c r="H62" s="66"/>
      <c r="I62" s="57">
        <f t="shared" si="3"/>
        <v>0.98</v>
      </c>
      <c r="J62" s="56" t="str">
        <f t="shared" si="4"/>
        <v/>
      </c>
      <c r="K62" s="32" t="str">
        <f t="shared" si="5"/>
        <v>Pendiente</v>
      </c>
    </row>
    <row r="63" spans="2:11" ht="18" customHeight="1" x14ac:dyDescent="0.35">
      <c r="B63" s="52">
        <v>41</v>
      </c>
      <c r="C63" s="53">
        <v>2029</v>
      </c>
      <c r="D63" s="54" t="s">
        <v>231</v>
      </c>
      <c r="E63" s="65"/>
      <c r="F63" s="65"/>
      <c r="G63" s="65"/>
      <c r="H63" s="66"/>
      <c r="I63" s="57">
        <f t="shared" si="3"/>
        <v>0.98</v>
      </c>
      <c r="J63" s="56" t="str">
        <f t="shared" si="4"/>
        <v/>
      </c>
      <c r="K63" s="32" t="str">
        <f t="shared" si="5"/>
        <v>Pendiente</v>
      </c>
    </row>
    <row r="64" spans="2:11" ht="18" customHeight="1" x14ac:dyDescent="0.35">
      <c r="B64" s="52">
        <v>42</v>
      </c>
      <c r="C64" s="53">
        <v>2029</v>
      </c>
      <c r="D64" s="54" t="s">
        <v>232</v>
      </c>
      <c r="E64" s="65"/>
      <c r="F64" s="65"/>
      <c r="G64" s="65"/>
      <c r="H64" s="66"/>
      <c r="I64" s="57">
        <f t="shared" si="3"/>
        <v>0.98</v>
      </c>
      <c r="J64" s="56" t="str">
        <f t="shared" si="4"/>
        <v/>
      </c>
      <c r="K64" s="32" t="str">
        <f t="shared" si="5"/>
        <v>Pendiente</v>
      </c>
    </row>
    <row r="65" spans="2:11" ht="18" customHeight="1" x14ac:dyDescent="0.35">
      <c r="B65" s="52">
        <v>43</v>
      </c>
      <c r="C65" s="53">
        <v>2029</v>
      </c>
      <c r="D65" s="54" t="s">
        <v>233</v>
      </c>
      <c r="E65" s="65"/>
      <c r="F65" s="65"/>
      <c r="G65" s="65"/>
      <c r="H65" s="66"/>
      <c r="I65" s="57">
        <f t="shared" si="3"/>
        <v>0.98</v>
      </c>
      <c r="J65" s="56" t="str">
        <f t="shared" si="4"/>
        <v/>
      </c>
      <c r="K65" s="32" t="str">
        <f t="shared" si="5"/>
        <v>Pendiente</v>
      </c>
    </row>
    <row r="66" spans="2:11" ht="18" customHeight="1" x14ac:dyDescent="0.35">
      <c r="B66" s="52">
        <v>44</v>
      </c>
      <c r="C66" s="53">
        <v>2029</v>
      </c>
      <c r="D66" s="54" t="s">
        <v>234</v>
      </c>
      <c r="E66" s="65"/>
      <c r="F66" s="65"/>
      <c r="G66" s="65"/>
      <c r="H66" s="66"/>
      <c r="I66" s="57">
        <f t="shared" si="3"/>
        <v>0.98</v>
      </c>
      <c r="J66" s="56" t="str">
        <f t="shared" si="4"/>
        <v/>
      </c>
      <c r="K66" s="32" t="str">
        <f t="shared" si="5"/>
        <v>Pendiente</v>
      </c>
    </row>
    <row r="67" spans="2:11" ht="18" customHeight="1" x14ac:dyDescent="0.35">
      <c r="B67" s="52">
        <v>45</v>
      </c>
      <c r="C67" s="53">
        <v>2029</v>
      </c>
      <c r="D67" s="54" t="s">
        <v>235</v>
      </c>
      <c r="E67" s="65"/>
      <c r="F67" s="65"/>
      <c r="G67" s="65"/>
      <c r="H67" s="66"/>
      <c r="I67" s="57">
        <f t="shared" si="3"/>
        <v>0.98</v>
      </c>
      <c r="J67" s="56" t="str">
        <f t="shared" si="4"/>
        <v/>
      </c>
      <c r="K67" s="32" t="str">
        <f t="shared" si="5"/>
        <v>Pendiente</v>
      </c>
    </row>
    <row r="68" spans="2:11" ht="18" customHeight="1" x14ac:dyDescent="0.35">
      <c r="B68" s="52">
        <v>46</v>
      </c>
      <c r="C68" s="53">
        <v>2029</v>
      </c>
      <c r="D68" s="54" t="s">
        <v>236</v>
      </c>
      <c r="E68" s="65"/>
      <c r="F68" s="65"/>
      <c r="G68" s="65"/>
      <c r="H68" s="66"/>
      <c r="I68" s="57">
        <f t="shared" si="3"/>
        <v>0.98</v>
      </c>
      <c r="J68" s="56" t="str">
        <f t="shared" si="4"/>
        <v/>
      </c>
      <c r="K68" s="32" t="str">
        <f t="shared" si="5"/>
        <v>Pendiente</v>
      </c>
    </row>
    <row r="69" spans="2:11" ht="18" customHeight="1" x14ac:dyDescent="0.35">
      <c r="B69" s="52">
        <v>47</v>
      </c>
      <c r="C69" s="53">
        <v>2029</v>
      </c>
      <c r="D69" s="54" t="s">
        <v>237</v>
      </c>
      <c r="E69" s="65"/>
      <c r="F69" s="65"/>
      <c r="G69" s="65"/>
      <c r="H69" s="66"/>
      <c r="I69" s="57">
        <f t="shared" si="3"/>
        <v>0.98</v>
      </c>
      <c r="J69" s="56" t="str">
        <f t="shared" si="4"/>
        <v/>
      </c>
      <c r="K69" s="32" t="str">
        <f t="shared" si="5"/>
        <v>Pendiente</v>
      </c>
    </row>
    <row r="70" spans="2:11" ht="18" customHeight="1" x14ac:dyDescent="0.35">
      <c r="B70" s="52">
        <v>48</v>
      </c>
      <c r="C70" s="53">
        <v>2029</v>
      </c>
      <c r="D70" s="54" t="s">
        <v>238</v>
      </c>
      <c r="E70" s="68"/>
      <c r="F70" s="68"/>
      <c r="G70" s="68"/>
      <c r="H70" s="56" t="str">
        <f>IFERROR(IF(G70=0,"",(E70+F70)/G70),"")</f>
        <v/>
      </c>
      <c r="I70" s="57">
        <f t="shared" si="3"/>
        <v>0.98</v>
      </c>
      <c r="J70" s="56" t="str">
        <f t="shared" si="4"/>
        <v/>
      </c>
      <c r="K70" s="32" t="str">
        <f t="shared" si="5"/>
        <v>Pendiente</v>
      </c>
    </row>
    <row r="71" spans="2:11" ht="18" customHeight="1" x14ac:dyDescent="0.35">
      <c r="B71" s="52">
        <v>49</v>
      </c>
      <c r="C71" s="53">
        <v>2030</v>
      </c>
      <c r="D71" s="54" t="s">
        <v>227</v>
      </c>
      <c r="E71" s="65"/>
      <c r="F71" s="65"/>
      <c r="G71" s="65"/>
      <c r="H71" s="66"/>
      <c r="I71" s="57">
        <f t="shared" si="3"/>
        <v>0.98</v>
      </c>
      <c r="J71" s="56" t="str">
        <f t="shared" si="4"/>
        <v/>
      </c>
      <c r="K71" s="32" t="str">
        <f t="shared" si="5"/>
        <v>Pendiente</v>
      </c>
    </row>
    <row r="72" spans="2:11" ht="18" customHeight="1" x14ac:dyDescent="0.35">
      <c r="B72" s="52">
        <v>50</v>
      </c>
      <c r="C72" s="53">
        <v>2030</v>
      </c>
      <c r="D72" s="54" t="s">
        <v>228</v>
      </c>
      <c r="E72" s="65"/>
      <c r="F72" s="65"/>
      <c r="G72" s="65"/>
      <c r="H72" s="66"/>
      <c r="I72" s="57">
        <f t="shared" si="3"/>
        <v>0.98</v>
      </c>
      <c r="J72" s="56" t="str">
        <f t="shared" si="4"/>
        <v/>
      </c>
      <c r="K72" s="32" t="str">
        <f t="shared" si="5"/>
        <v>Pendiente</v>
      </c>
    </row>
    <row r="73" spans="2:11" ht="18" customHeight="1" x14ac:dyDescent="0.35">
      <c r="B73" s="52">
        <v>51</v>
      </c>
      <c r="C73" s="53">
        <v>2030</v>
      </c>
      <c r="D73" s="54" t="s">
        <v>229</v>
      </c>
      <c r="E73" s="65"/>
      <c r="F73" s="65"/>
      <c r="G73" s="65"/>
      <c r="H73" s="66"/>
      <c r="I73" s="57">
        <f t="shared" si="3"/>
        <v>0.98</v>
      </c>
      <c r="J73" s="56" t="str">
        <f t="shared" si="4"/>
        <v/>
      </c>
      <c r="K73" s="32" t="str">
        <f t="shared" si="5"/>
        <v>Pendiente</v>
      </c>
    </row>
    <row r="74" spans="2:11" ht="18" customHeight="1" x14ac:dyDescent="0.35">
      <c r="B74" s="52">
        <v>52</v>
      </c>
      <c r="C74" s="53">
        <v>2030</v>
      </c>
      <c r="D74" s="54" t="s">
        <v>230</v>
      </c>
      <c r="E74" s="65"/>
      <c r="F74" s="65"/>
      <c r="G74" s="65"/>
      <c r="H74" s="66"/>
      <c r="I74" s="57">
        <f t="shared" si="3"/>
        <v>0.98</v>
      </c>
      <c r="J74" s="56" t="str">
        <f t="shared" si="4"/>
        <v/>
      </c>
      <c r="K74" s="32" t="str">
        <f t="shared" si="5"/>
        <v>Pendiente</v>
      </c>
    </row>
    <row r="75" spans="2:11" ht="18" customHeight="1" x14ac:dyDescent="0.35">
      <c r="B75" s="52">
        <v>53</v>
      </c>
      <c r="C75" s="53">
        <v>2030</v>
      </c>
      <c r="D75" s="54" t="s">
        <v>231</v>
      </c>
      <c r="E75" s="65"/>
      <c r="F75" s="65"/>
      <c r="G75" s="65"/>
      <c r="H75" s="66"/>
      <c r="I75" s="57">
        <f t="shared" si="3"/>
        <v>0.98</v>
      </c>
      <c r="J75" s="56" t="str">
        <f t="shared" si="4"/>
        <v/>
      </c>
      <c r="K75" s="32" t="str">
        <f t="shared" si="5"/>
        <v>Pendiente</v>
      </c>
    </row>
    <row r="76" spans="2:11" ht="18" customHeight="1" x14ac:dyDescent="0.35">
      <c r="B76" s="52">
        <v>54</v>
      </c>
      <c r="C76" s="53">
        <v>2030</v>
      </c>
      <c r="D76" s="54" t="s">
        <v>232</v>
      </c>
      <c r="E76" s="65"/>
      <c r="F76" s="65"/>
      <c r="G76" s="65"/>
      <c r="H76" s="66"/>
      <c r="I76" s="57">
        <f t="shared" si="3"/>
        <v>0.98</v>
      </c>
      <c r="J76" s="56" t="str">
        <f t="shared" si="4"/>
        <v/>
      </c>
      <c r="K76" s="32" t="str">
        <f t="shared" si="5"/>
        <v>Pendiente</v>
      </c>
    </row>
    <row r="77" spans="2:11" ht="18" customHeight="1" x14ac:dyDescent="0.35">
      <c r="B77" s="52">
        <v>55</v>
      </c>
      <c r="C77" s="53">
        <v>2030</v>
      </c>
      <c r="D77" s="54" t="s">
        <v>233</v>
      </c>
      <c r="E77" s="65"/>
      <c r="F77" s="65"/>
      <c r="G77" s="65"/>
      <c r="H77" s="66"/>
      <c r="I77" s="57">
        <f t="shared" si="3"/>
        <v>0.98</v>
      </c>
      <c r="J77" s="56" t="str">
        <f t="shared" si="4"/>
        <v/>
      </c>
      <c r="K77" s="32" t="str">
        <f t="shared" si="5"/>
        <v>Pendiente</v>
      </c>
    </row>
    <row r="78" spans="2:11" ht="18" customHeight="1" x14ac:dyDescent="0.35">
      <c r="B78" s="52">
        <v>56</v>
      </c>
      <c r="C78" s="53">
        <v>2030</v>
      </c>
      <c r="D78" s="54" t="s">
        <v>234</v>
      </c>
      <c r="E78" s="65"/>
      <c r="F78" s="65"/>
      <c r="G78" s="65"/>
      <c r="H78" s="66"/>
      <c r="I78" s="57">
        <f t="shared" si="3"/>
        <v>0.98</v>
      </c>
      <c r="J78" s="56" t="str">
        <f t="shared" si="4"/>
        <v/>
      </c>
      <c r="K78" s="32" t="str">
        <f t="shared" si="5"/>
        <v>Pendiente</v>
      </c>
    </row>
    <row r="79" spans="2:11" ht="18" customHeight="1" x14ac:dyDescent="0.35">
      <c r="B79" s="52">
        <v>57</v>
      </c>
      <c r="C79" s="53">
        <v>2030</v>
      </c>
      <c r="D79" s="54" t="s">
        <v>235</v>
      </c>
      <c r="E79" s="65"/>
      <c r="F79" s="65"/>
      <c r="G79" s="65"/>
      <c r="H79" s="66"/>
      <c r="I79" s="57">
        <f t="shared" si="3"/>
        <v>0.98</v>
      </c>
      <c r="J79" s="56" t="str">
        <f t="shared" si="4"/>
        <v/>
      </c>
      <c r="K79" s="32" t="str">
        <f t="shared" si="5"/>
        <v>Pendiente</v>
      </c>
    </row>
    <row r="80" spans="2:11" ht="18" customHeight="1" x14ac:dyDescent="0.35">
      <c r="B80" s="52">
        <v>58</v>
      </c>
      <c r="C80" s="53">
        <v>2030</v>
      </c>
      <c r="D80" s="54" t="s">
        <v>236</v>
      </c>
      <c r="E80" s="65"/>
      <c r="F80" s="65"/>
      <c r="G80" s="65"/>
      <c r="H80" s="66"/>
      <c r="I80" s="57">
        <f t="shared" si="3"/>
        <v>0.98</v>
      </c>
      <c r="J80" s="56" t="str">
        <f t="shared" si="4"/>
        <v/>
      </c>
      <c r="K80" s="32" t="str">
        <f t="shared" si="5"/>
        <v>Pendiente</v>
      </c>
    </row>
    <row r="81" spans="2:11" ht="18" customHeight="1" x14ac:dyDescent="0.35">
      <c r="B81" s="52">
        <v>59</v>
      </c>
      <c r="C81" s="53">
        <v>2030</v>
      </c>
      <c r="D81" s="54" t="s">
        <v>237</v>
      </c>
      <c r="E81" s="65"/>
      <c r="F81" s="65"/>
      <c r="G81" s="65"/>
      <c r="H81" s="66"/>
      <c r="I81" s="57">
        <f t="shared" si="3"/>
        <v>0.98</v>
      </c>
      <c r="J81" s="56" t="str">
        <f t="shared" si="4"/>
        <v/>
      </c>
      <c r="K81" s="32" t="str">
        <f t="shared" si="5"/>
        <v>Pendiente</v>
      </c>
    </row>
    <row r="82" spans="2:11" ht="18" customHeight="1" x14ac:dyDescent="0.35">
      <c r="B82" s="52">
        <v>60</v>
      </c>
      <c r="C82" s="53">
        <v>2030</v>
      </c>
      <c r="D82" s="54" t="s">
        <v>238</v>
      </c>
      <c r="E82" s="68"/>
      <c r="F82" s="68"/>
      <c r="G82" s="68"/>
      <c r="H82" s="56" t="str">
        <f>IFERROR(IF(G82=0,"",(E82+F82)/G82),"")</f>
        <v/>
      </c>
      <c r="I82" s="57">
        <f t="shared" si="3"/>
        <v>0.98</v>
      </c>
      <c r="J82" s="56" t="str">
        <f t="shared" si="4"/>
        <v/>
      </c>
      <c r="K82" s="32" t="str">
        <f t="shared" si="5"/>
        <v>Pendiente</v>
      </c>
    </row>
  </sheetData>
  <mergeCells count="29">
    <mergeCell ref="B21:K21"/>
    <mergeCell ref="B12:K12"/>
    <mergeCell ref="B2:K2"/>
    <mergeCell ref="B9:C9"/>
    <mergeCell ref="C17:D17"/>
    <mergeCell ref="B6:C6"/>
    <mergeCell ref="D9:K9"/>
    <mergeCell ref="E13:K13"/>
    <mergeCell ref="D8:K8"/>
    <mergeCell ref="B5:C5"/>
    <mergeCell ref="C13:D13"/>
    <mergeCell ref="D5:K5"/>
    <mergeCell ref="C18:D18"/>
    <mergeCell ref="E15:K15"/>
    <mergeCell ref="B3:K3"/>
    <mergeCell ref="E14:K14"/>
    <mergeCell ref="D7:K7"/>
    <mergeCell ref="E17:K17"/>
    <mergeCell ref="B10:C10"/>
    <mergeCell ref="B20:K20"/>
    <mergeCell ref="C16:D16"/>
    <mergeCell ref="D6:K6"/>
    <mergeCell ref="E18:K18"/>
    <mergeCell ref="B8:C8"/>
    <mergeCell ref="B7:C7"/>
    <mergeCell ref="C15:D15"/>
    <mergeCell ref="D10:K10"/>
    <mergeCell ref="C14:D14"/>
    <mergeCell ref="E16:K16"/>
  </mergeCells>
  <conditionalFormatting sqref="J23:J82">
    <cfRule type="expression" dxfId="76" priority="2">
      <formula>AND(ISNUMBER(J23),J23&gt;=0.95)</formula>
    </cfRule>
    <cfRule type="expression" dxfId="75" priority="3">
      <formula>AND(ISNUMBER(J23),J23&gt;=0.8,J23&lt;0.95)</formula>
    </cfRule>
    <cfRule type="expression" dxfId="74" priority="4">
      <formula>AND(ISNUMBER(J23),J23&lt;0.8)</formula>
    </cfRule>
  </conditionalFormatting>
  <conditionalFormatting sqref="K23:K82">
    <cfRule type="expression" dxfId="73" priority="5">
      <formula>K23="Cumple"</formula>
    </cfRule>
    <cfRule type="expression" dxfId="72" priority="6">
      <formula>K23="En riesgo"</formula>
    </cfRule>
    <cfRule type="expression" dxfId="71" priority="7">
      <formula>K23="Crítico"</formula>
    </cfRule>
    <cfRule type="expression" dxfId="70" priority="8">
      <formula>K23="Pendiente"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A14B"/>
  </sheetPr>
  <dimension ref="B2:I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5" width="22" customWidth="1"/>
    <col min="6" max="6" width="15" customWidth="1"/>
    <col min="7" max="7" width="12" customWidth="1"/>
    <col min="8" max="9" width="13" customWidth="1"/>
  </cols>
  <sheetData>
    <row r="2" spans="2:9" ht="27.75" customHeight="1" x14ac:dyDescent="0.35">
      <c r="B2" s="104" t="s">
        <v>284</v>
      </c>
      <c r="C2" s="72"/>
      <c r="D2" s="72"/>
      <c r="E2" s="72"/>
      <c r="F2" s="72"/>
      <c r="G2" s="72"/>
      <c r="H2" s="72"/>
      <c r="I2" s="72"/>
    </row>
    <row r="3" spans="2:9" ht="18" customHeight="1" x14ac:dyDescent="0.35">
      <c r="B3" s="102" t="s">
        <v>280</v>
      </c>
      <c r="C3" s="72"/>
      <c r="D3" s="72"/>
      <c r="E3" s="72"/>
      <c r="F3" s="72"/>
      <c r="G3" s="72"/>
      <c r="H3" s="72"/>
      <c r="I3" s="72"/>
    </row>
    <row r="5" spans="2:9" ht="25.5" customHeight="1" x14ac:dyDescent="0.35">
      <c r="B5" s="88" t="s">
        <v>113</v>
      </c>
      <c r="C5" s="81"/>
      <c r="D5" s="89" t="s">
        <v>176</v>
      </c>
      <c r="E5" s="80"/>
      <c r="F5" s="80"/>
      <c r="G5" s="80"/>
      <c r="H5" s="80"/>
      <c r="I5" s="81"/>
    </row>
    <row r="6" spans="2:9" ht="25.5" customHeight="1" x14ac:dyDescent="0.35">
      <c r="B6" s="88" t="s">
        <v>114</v>
      </c>
      <c r="C6" s="81"/>
      <c r="D6" s="89" t="s">
        <v>177</v>
      </c>
      <c r="E6" s="80"/>
      <c r="F6" s="80"/>
      <c r="G6" s="80"/>
      <c r="H6" s="80"/>
      <c r="I6" s="81"/>
    </row>
    <row r="7" spans="2:9" ht="19.5" customHeight="1" x14ac:dyDescent="0.35">
      <c r="B7" s="88" t="s">
        <v>115</v>
      </c>
      <c r="C7" s="81"/>
      <c r="D7" s="89" t="s">
        <v>178</v>
      </c>
      <c r="E7" s="80"/>
      <c r="F7" s="80"/>
      <c r="G7" s="80"/>
      <c r="H7" s="80"/>
      <c r="I7" s="81"/>
    </row>
    <row r="8" spans="2:9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1"/>
    </row>
    <row r="9" spans="2:9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1"/>
    </row>
    <row r="10" spans="2:9" ht="19.5" customHeight="1" x14ac:dyDescent="0.35">
      <c r="B10" s="88" t="s">
        <v>117</v>
      </c>
      <c r="C10" s="81"/>
      <c r="D10" s="93" t="str">
        <f>VLOOKUP("IND-16",Parámetros!$B$6:$F$30,5,FALSE())</f>
        <v>Por definir</v>
      </c>
      <c r="E10" s="80"/>
      <c r="F10" s="80"/>
      <c r="G10" s="80"/>
      <c r="H10" s="80"/>
      <c r="I10" s="81"/>
    </row>
    <row r="12" spans="2:9" ht="19.5" customHeight="1" x14ac:dyDescent="0.35">
      <c r="B12" s="103" t="s">
        <v>215</v>
      </c>
      <c r="C12" s="72"/>
      <c r="D12" s="72"/>
      <c r="E12" s="72"/>
      <c r="F12" s="72"/>
      <c r="G12" s="72"/>
      <c r="H12" s="72"/>
      <c r="I12" s="72"/>
    </row>
    <row r="13" spans="2:9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1"/>
    </row>
    <row r="14" spans="2:9" ht="19.5" customHeight="1" x14ac:dyDescent="0.35">
      <c r="B14" s="51">
        <v>2026</v>
      </c>
      <c r="C14" s="91">
        <v>0.95</v>
      </c>
      <c r="D14" s="81"/>
      <c r="E14" s="92"/>
      <c r="F14" s="80"/>
      <c r="G14" s="80"/>
      <c r="H14" s="80"/>
      <c r="I14" s="80"/>
    </row>
    <row r="15" spans="2:9" ht="19.5" customHeight="1" x14ac:dyDescent="0.35">
      <c r="B15" s="51">
        <v>2027</v>
      </c>
      <c r="C15" s="91">
        <v>0.95</v>
      </c>
      <c r="D15" s="81"/>
      <c r="E15" s="92"/>
      <c r="F15" s="80"/>
      <c r="G15" s="80"/>
      <c r="H15" s="80"/>
      <c r="I15" s="80"/>
    </row>
    <row r="16" spans="2:9" ht="19.5" customHeight="1" x14ac:dyDescent="0.35">
      <c r="B16" s="51">
        <v>2028</v>
      </c>
      <c r="C16" s="91">
        <v>0.95</v>
      </c>
      <c r="D16" s="81"/>
      <c r="E16" s="92"/>
      <c r="F16" s="80"/>
      <c r="G16" s="80"/>
      <c r="H16" s="80"/>
      <c r="I16" s="80"/>
    </row>
    <row r="17" spans="2:9" ht="19.5" customHeight="1" x14ac:dyDescent="0.35">
      <c r="B17" s="51">
        <v>2029</v>
      </c>
      <c r="C17" s="91">
        <v>0.95</v>
      </c>
      <c r="D17" s="81"/>
      <c r="E17" s="92"/>
      <c r="F17" s="80"/>
      <c r="G17" s="80"/>
      <c r="H17" s="80"/>
      <c r="I17" s="80"/>
    </row>
    <row r="18" spans="2:9" ht="19.5" customHeight="1" x14ac:dyDescent="0.35">
      <c r="B18" s="51">
        <v>2030</v>
      </c>
      <c r="C18" s="91">
        <v>0.95</v>
      </c>
      <c r="D18" s="81"/>
      <c r="E18" s="92"/>
      <c r="F18" s="80"/>
      <c r="G18" s="80"/>
      <c r="H18" s="80"/>
      <c r="I18" s="80"/>
    </row>
    <row r="20" spans="2:9" ht="19.5" customHeight="1" x14ac:dyDescent="0.35">
      <c r="B20" s="105" t="s">
        <v>218</v>
      </c>
      <c r="C20" s="72"/>
      <c r="D20" s="72"/>
      <c r="E20" s="72"/>
      <c r="F20" s="72"/>
      <c r="G20" s="72"/>
      <c r="H20" s="72"/>
      <c r="I20" s="72"/>
    </row>
    <row r="21" spans="2:9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</row>
    <row r="22" spans="2:9" ht="30" customHeight="1" x14ac:dyDescent="0.35">
      <c r="B22" s="21" t="s">
        <v>220</v>
      </c>
      <c r="C22" s="21" t="s">
        <v>208</v>
      </c>
      <c r="D22" s="21" t="s">
        <v>209</v>
      </c>
      <c r="E22" s="21" t="s">
        <v>285</v>
      </c>
      <c r="F22" s="21" t="s">
        <v>223</v>
      </c>
      <c r="G22" s="21" t="s">
        <v>224</v>
      </c>
      <c r="H22" s="21" t="s">
        <v>225</v>
      </c>
      <c r="I22" s="21" t="s">
        <v>226</v>
      </c>
    </row>
    <row r="23" spans="2:9" ht="18" customHeight="1" x14ac:dyDescent="0.35">
      <c r="B23" s="52">
        <v>1</v>
      </c>
      <c r="C23" s="53">
        <v>2026</v>
      </c>
      <c r="D23" s="54" t="s">
        <v>227</v>
      </c>
      <c r="E23" s="70">
        <v>0.92</v>
      </c>
      <c r="F23" s="56">
        <f t="shared" ref="F23:F54" si="0">IF(E23="","",E23)</f>
        <v>0.92</v>
      </c>
      <c r="G23" s="57">
        <f t="shared" ref="G23:G54" si="1">IFERROR(VLOOKUP(C23,$B$14:$C$18,2,FALSE()),"")</f>
        <v>0.95</v>
      </c>
      <c r="H23" s="56">
        <f t="shared" ref="H23:H54" si="2">IFERROR(IF(OR(F23="",NOT(ISNUMBER(G23))),"",F23/G23),"")</f>
        <v>0.96842105263157907</v>
      </c>
      <c r="I23" s="32" t="str">
        <f t="shared" ref="I23:I54" si="3">IFERROR(IF(H23="","Pendiente",IF(H23&gt;=0.95,"Cumple",IF(H23&gt;=0.8,"En riesgo","Crítico"))),"Pendiente")</f>
        <v>Cumple</v>
      </c>
    </row>
    <row r="24" spans="2:9" ht="18" customHeight="1" x14ac:dyDescent="0.35">
      <c r="B24" s="52">
        <v>2</v>
      </c>
      <c r="C24" s="53">
        <v>2026</v>
      </c>
      <c r="D24" s="54" t="s">
        <v>228</v>
      </c>
      <c r="E24" s="70">
        <v>0.93</v>
      </c>
      <c r="F24" s="56">
        <f t="shared" si="0"/>
        <v>0.93</v>
      </c>
      <c r="G24" s="57">
        <f t="shared" si="1"/>
        <v>0.95</v>
      </c>
      <c r="H24" s="56">
        <f t="shared" si="2"/>
        <v>0.97894736842105268</v>
      </c>
      <c r="I24" s="32" t="str">
        <f t="shared" si="3"/>
        <v>Cumple</v>
      </c>
    </row>
    <row r="25" spans="2:9" ht="18" customHeight="1" x14ac:dyDescent="0.35">
      <c r="B25" s="52">
        <v>3</v>
      </c>
      <c r="C25" s="53">
        <v>2026</v>
      </c>
      <c r="D25" s="54" t="s">
        <v>229</v>
      </c>
      <c r="E25" s="70">
        <v>0.94000000000000006</v>
      </c>
      <c r="F25" s="56">
        <f t="shared" si="0"/>
        <v>0.94000000000000006</v>
      </c>
      <c r="G25" s="57">
        <f t="shared" si="1"/>
        <v>0.95</v>
      </c>
      <c r="H25" s="56">
        <f t="shared" si="2"/>
        <v>0.98947368421052639</v>
      </c>
      <c r="I25" s="32" t="str">
        <f t="shared" si="3"/>
        <v>Cumple</v>
      </c>
    </row>
    <row r="26" spans="2:9" ht="18" customHeight="1" x14ac:dyDescent="0.35">
      <c r="B26" s="52">
        <v>4</v>
      </c>
      <c r="C26" s="53">
        <v>2026</v>
      </c>
      <c r="D26" s="54" t="s">
        <v>230</v>
      </c>
      <c r="E26" s="70">
        <v>0.95000000000000007</v>
      </c>
      <c r="F26" s="56">
        <f t="shared" si="0"/>
        <v>0.95000000000000007</v>
      </c>
      <c r="G26" s="57">
        <f t="shared" si="1"/>
        <v>0.95</v>
      </c>
      <c r="H26" s="56">
        <f t="shared" si="2"/>
        <v>1.0000000000000002</v>
      </c>
      <c r="I26" s="32" t="str">
        <f t="shared" si="3"/>
        <v>Cumple</v>
      </c>
    </row>
    <row r="27" spans="2:9" ht="18" customHeight="1" x14ac:dyDescent="0.35">
      <c r="B27" s="52">
        <v>5</v>
      </c>
      <c r="C27" s="53">
        <v>2026</v>
      </c>
      <c r="D27" s="54" t="s">
        <v>231</v>
      </c>
      <c r="E27" s="70">
        <v>0.96000000000000008</v>
      </c>
      <c r="F27" s="56">
        <f t="shared" si="0"/>
        <v>0.96000000000000008</v>
      </c>
      <c r="G27" s="57">
        <f t="shared" si="1"/>
        <v>0.95</v>
      </c>
      <c r="H27" s="56">
        <f t="shared" si="2"/>
        <v>1.0105263157894737</v>
      </c>
      <c r="I27" s="32" t="str">
        <f t="shared" si="3"/>
        <v>Cumple</v>
      </c>
    </row>
    <row r="28" spans="2:9" ht="18" customHeight="1" x14ac:dyDescent="0.35">
      <c r="B28" s="52">
        <v>6</v>
      </c>
      <c r="C28" s="53">
        <v>2026</v>
      </c>
      <c r="D28" s="54" t="s">
        <v>232</v>
      </c>
      <c r="E28" s="70">
        <v>0.97000000000000008</v>
      </c>
      <c r="F28" s="56">
        <f t="shared" si="0"/>
        <v>0.97000000000000008</v>
      </c>
      <c r="G28" s="57">
        <f t="shared" si="1"/>
        <v>0.95</v>
      </c>
      <c r="H28" s="56">
        <f t="shared" si="2"/>
        <v>1.0210526315789474</v>
      </c>
      <c r="I28" s="32" t="str">
        <f t="shared" si="3"/>
        <v>Cumple</v>
      </c>
    </row>
    <row r="29" spans="2:9" ht="18" customHeight="1" x14ac:dyDescent="0.35">
      <c r="B29" s="52">
        <v>7</v>
      </c>
      <c r="C29" s="53">
        <v>2026</v>
      </c>
      <c r="D29" s="54" t="s">
        <v>233</v>
      </c>
      <c r="E29" s="70">
        <v>0.98</v>
      </c>
      <c r="F29" s="56">
        <f t="shared" si="0"/>
        <v>0.98</v>
      </c>
      <c r="G29" s="57">
        <f t="shared" si="1"/>
        <v>0.95</v>
      </c>
      <c r="H29" s="56">
        <f t="shared" si="2"/>
        <v>1.0315789473684212</v>
      </c>
      <c r="I29" s="32" t="str">
        <f t="shared" si="3"/>
        <v>Cumple</v>
      </c>
    </row>
    <row r="30" spans="2:9" ht="18" customHeight="1" x14ac:dyDescent="0.35">
      <c r="B30" s="52">
        <v>8</v>
      </c>
      <c r="C30" s="53">
        <v>2026</v>
      </c>
      <c r="D30" s="54" t="s">
        <v>234</v>
      </c>
      <c r="E30" s="70">
        <v>0.99</v>
      </c>
      <c r="F30" s="56">
        <f t="shared" si="0"/>
        <v>0.99</v>
      </c>
      <c r="G30" s="57">
        <f t="shared" si="1"/>
        <v>0.95</v>
      </c>
      <c r="H30" s="56">
        <f t="shared" si="2"/>
        <v>1.0421052631578949</v>
      </c>
      <c r="I30" s="32" t="str">
        <f t="shared" si="3"/>
        <v>Cumple</v>
      </c>
    </row>
    <row r="31" spans="2:9" ht="18" customHeight="1" x14ac:dyDescent="0.35">
      <c r="B31" s="52">
        <v>9</v>
      </c>
      <c r="C31" s="53">
        <v>2026</v>
      </c>
      <c r="D31" s="54" t="s">
        <v>235</v>
      </c>
      <c r="E31" s="70">
        <v>1</v>
      </c>
      <c r="F31" s="56">
        <f t="shared" si="0"/>
        <v>1</v>
      </c>
      <c r="G31" s="57">
        <f t="shared" si="1"/>
        <v>0.95</v>
      </c>
      <c r="H31" s="56">
        <f t="shared" si="2"/>
        <v>1.0526315789473684</v>
      </c>
      <c r="I31" s="32" t="str">
        <f t="shared" si="3"/>
        <v>Cumple</v>
      </c>
    </row>
    <row r="32" spans="2:9" ht="18" customHeight="1" x14ac:dyDescent="0.35">
      <c r="B32" s="52">
        <v>10</v>
      </c>
      <c r="C32" s="53">
        <v>2026</v>
      </c>
      <c r="D32" s="54" t="s">
        <v>236</v>
      </c>
      <c r="E32" s="70">
        <v>1.01</v>
      </c>
      <c r="F32" s="56">
        <f t="shared" si="0"/>
        <v>1.01</v>
      </c>
      <c r="G32" s="57">
        <f t="shared" si="1"/>
        <v>0.95</v>
      </c>
      <c r="H32" s="56">
        <f t="shared" si="2"/>
        <v>1.0631578947368421</v>
      </c>
      <c r="I32" s="32" t="str">
        <f t="shared" si="3"/>
        <v>Cumple</v>
      </c>
    </row>
    <row r="33" spans="2:9" ht="18" customHeight="1" x14ac:dyDescent="0.35">
      <c r="B33" s="52">
        <v>11</v>
      </c>
      <c r="C33" s="53">
        <v>2026</v>
      </c>
      <c r="D33" s="54" t="s">
        <v>237</v>
      </c>
      <c r="E33" s="70">
        <v>1.02</v>
      </c>
      <c r="F33" s="56">
        <f t="shared" si="0"/>
        <v>1.02</v>
      </c>
      <c r="G33" s="57">
        <f t="shared" si="1"/>
        <v>0.95</v>
      </c>
      <c r="H33" s="56">
        <f t="shared" si="2"/>
        <v>1.0736842105263158</v>
      </c>
      <c r="I33" s="32" t="str">
        <f t="shared" si="3"/>
        <v>Cumple</v>
      </c>
    </row>
    <row r="34" spans="2:9" ht="18" customHeight="1" x14ac:dyDescent="0.35">
      <c r="B34" s="52">
        <v>12</v>
      </c>
      <c r="C34" s="53">
        <v>2026</v>
      </c>
      <c r="D34" s="54" t="s">
        <v>238</v>
      </c>
      <c r="E34" s="70">
        <v>1.03</v>
      </c>
      <c r="F34" s="56">
        <f t="shared" si="0"/>
        <v>1.03</v>
      </c>
      <c r="G34" s="57">
        <f t="shared" si="1"/>
        <v>0.95</v>
      </c>
      <c r="H34" s="56">
        <f t="shared" si="2"/>
        <v>1.0842105263157895</v>
      </c>
      <c r="I34" s="32" t="str">
        <f t="shared" si="3"/>
        <v>Cumple</v>
      </c>
    </row>
    <row r="35" spans="2:9" ht="18" customHeight="1" x14ac:dyDescent="0.35">
      <c r="B35" s="52">
        <v>13</v>
      </c>
      <c r="C35" s="53">
        <v>2027</v>
      </c>
      <c r="D35" s="54" t="s">
        <v>227</v>
      </c>
      <c r="E35" s="70"/>
      <c r="F35" s="56" t="str">
        <f t="shared" si="0"/>
        <v/>
      </c>
      <c r="G35" s="57">
        <f t="shared" si="1"/>
        <v>0.95</v>
      </c>
      <c r="H35" s="56" t="str">
        <f t="shared" si="2"/>
        <v/>
      </c>
      <c r="I35" s="32" t="str">
        <f t="shared" si="3"/>
        <v>Pendiente</v>
      </c>
    </row>
    <row r="36" spans="2:9" ht="18" customHeight="1" x14ac:dyDescent="0.35">
      <c r="B36" s="52">
        <v>14</v>
      </c>
      <c r="C36" s="53">
        <v>2027</v>
      </c>
      <c r="D36" s="54" t="s">
        <v>228</v>
      </c>
      <c r="E36" s="70"/>
      <c r="F36" s="56" t="str">
        <f t="shared" si="0"/>
        <v/>
      </c>
      <c r="G36" s="57">
        <f t="shared" si="1"/>
        <v>0.95</v>
      </c>
      <c r="H36" s="56" t="str">
        <f t="shared" si="2"/>
        <v/>
      </c>
      <c r="I36" s="32" t="str">
        <f t="shared" si="3"/>
        <v>Pendiente</v>
      </c>
    </row>
    <row r="37" spans="2:9" ht="18" customHeight="1" x14ac:dyDescent="0.35">
      <c r="B37" s="52">
        <v>15</v>
      </c>
      <c r="C37" s="53">
        <v>2027</v>
      </c>
      <c r="D37" s="54" t="s">
        <v>229</v>
      </c>
      <c r="E37" s="70"/>
      <c r="F37" s="56" t="str">
        <f t="shared" si="0"/>
        <v/>
      </c>
      <c r="G37" s="57">
        <f t="shared" si="1"/>
        <v>0.95</v>
      </c>
      <c r="H37" s="56" t="str">
        <f t="shared" si="2"/>
        <v/>
      </c>
      <c r="I37" s="32" t="str">
        <f t="shared" si="3"/>
        <v>Pendiente</v>
      </c>
    </row>
    <row r="38" spans="2:9" ht="18" customHeight="1" x14ac:dyDescent="0.35">
      <c r="B38" s="52">
        <v>16</v>
      </c>
      <c r="C38" s="53">
        <v>2027</v>
      </c>
      <c r="D38" s="54" t="s">
        <v>230</v>
      </c>
      <c r="E38" s="70"/>
      <c r="F38" s="56" t="str">
        <f t="shared" si="0"/>
        <v/>
      </c>
      <c r="G38" s="57">
        <f t="shared" si="1"/>
        <v>0.95</v>
      </c>
      <c r="H38" s="56" t="str">
        <f t="shared" si="2"/>
        <v/>
      </c>
      <c r="I38" s="32" t="str">
        <f t="shared" si="3"/>
        <v>Pendiente</v>
      </c>
    </row>
    <row r="39" spans="2:9" ht="18" customHeight="1" x14ac:dyDescent="0.35">
      <c r="B39" s="52">
        <v>17</v>
      </c>
      <c r="C39" s="53">
        <v>2027</v>
      </c>
      <c r="D39" s="54" t="s">
        <v>231</v>
      </c>
      <c r="E39" s="70"/>
      <c r="F39" s="56" t="str">
        <f t="shared" si="0"/>
        <v/>
      </c>
      <c r="G39" s="57">
        <f t="shared" si="1"/>
        <v>0.95</v>
      </c>
      <c r="H39" s="56" t="str">
        <f t="shared" si="2"/>
        <v/>
      </c>
      <c r="I39" s="32" t="str">
        <f t="shared" si="3"/>
        <v>Pendiente</v>
      </c>
    </row>
    <row r="40" spans="2:9" ht="18" customHeight="1" x14ac:dyDescent="0.35">
      <c r="B40" s="52">
        <v>18</v>
      </c>
      <c r="C40" s="53">
        <v>2027</v>
      </c>
      <c r="D40" s="54" t="s">
        <v>232</v>
      </c>
      <c r="E40" s="70"/>
      <c r="F40" s="56" t="str">
        <f t="shared" si="0"/>
        <v/>
      </c>
      <c r="G40" s="57">
        <f t="shared" si="1"/>
        <v>0.95</v>
      </c>
      <c r="H40" s="56" t="str">
        <f t="shared" si="2"/>
        <v/>
      </c>
      <c r="I40" s="32" t="str">
        <f t="shared" si="3"/>
        <v>Pendiente</v>
      </c>
    </row>
    <row r="41" spans="2:9" ht="18" customHeight="1" x14ac:dyDescent="0.35">
      <c r="B41" s="52">
        <v>19</v>
      </c>
      <c r="C41" s="53">
        <v>2027</v>
      </c>
      <c r="D41" s="54" t="s">
        <v>233</v>
      </c>
      <c r="E41" s="70"/>
      <c r="F41" s="56" t="str">
        <f t="shared" si="0"/>
        <v/>
      </c>
      <c r="G41" s="57">
        <f t="shared" si="1"/>
        <v>0.95</v>
      </c>
      <c r="H41" s="56" t="str">
        <f t="shared" si="2"/>
        <v/>
      </c>
      <c r="I41" s="32" t="str">
        <f t="shared" si="3"/>
        <v>Pendiente</v>
      </c>
    </row>
    <row r="42" spans="2:9" ht="18" customHeight="1" x14ac:dyDescent="0.35">
      <c r="B42" s="52">
        <v>20</v>
      </c>
      <c r="C42" s="53">
        <v>2027</v>
      </c>
      <c r="D42" s="54" t="s">
        <v>234</v>
      </c>
      <c r="E42" s="70"/>
      <c r="F42" s="56" t="str">
        <f t="shared" si="0"/>
        <v/>
      </c>
      <c r="G42" s="57">
        <f t="shared" si="1"/>
        <v>0.95</v>
      </c>
      <c r="H42" s="56" t="str">
        <f t="shared" si="2"/>
        <v/>
      </c>
      <c r="I42" s="32" t="str">
        <f t="shared" si="3"/>
        <v>Pendiente</v>
      </c>
    </row>
    <row r="43" spans="2:9" ht="18" customHeight="1" x14ac:dyDescent="0.35">
      <c r="B43" s="52">
        <v>21</v>
      </c>
      <c r="C43" s="53">
        <v>2027</v>
      </c>
      <c r="D43" s="54" t="s">
        <v>235</v>
      </c>
      <c r="E43" s="70"/>
      <c r="F43" s="56" t="str">
        <f t="shared" si="0"/>
        <v/>
      </c>
      <c r="G43" s="57">
        <f t="shared" si="1"/>
        <v>0.95</v>
      </c>
      <c r="H43" s="56" t="str">
        <f t="shared" si="2"/>
        <v/>
      </c>
      <c r="I43" s="32" t="str">
        <f t="shared" si="3"/>
        <v>Pendiente</v>
      </c>
    </row>
    <row r="44" spans="2:9" ht="18" customHeight="1" x14ac:dyDescent="0.35">
      <c r="B44" s="52">
        <v>22</v>
      </c>
      <c r="C44" s="53">
        <v>2027</v>
      </c>
      <c r="D44" s="54" t="s">
        <v>236</v>
      </c>
      <c r="E44" s="70"/>
      <c r="F44" s="56" t="str">
        <f t="shared" si="0"/>
        <v/>
      </c>
      <c r="G44" s="57">
        <f t="shared" si="1"/>
        <v>0.95</v>
      </c>
      <c r="H44" s="56" t="str">
        <f t="shared" si="2"/>
        <v/>
      </c>
      <c r="I44" s="32" t="str">
        <f t="shared" si="3"/>
        <v>Pendiente</v>
      </c>
    </row>
    <row r="45" spans="2:9" ht="18" customHeight="1" x14ac:dyDescent="0.35">
      <c r="B45" s="52">
        <v>23</v>
      </c>
      <c r="C45" s="53">
        <v>2027</v>
      </c>
      <c r="D45" s="54" t="s">
        <v>237</v>
      </c>
      <c r="E45" s="70"/>
      <c r="F45" s="56" t="str">
        <f t="shared" si="0"/>
        <v/>
      </c>
      <c r="G45" s="57">
        <f t="shared" si="1"/>
        <v>0.95</v>
      </c>
      <c r="H45" s="56" t="str">
        <f t="shared" si="2"/>
        <v/>
      </c>
      <c r="I45" s="32" t="str">
        <f t="shared" si="3"/>
        <v>Pendiente</v>
      </c>
    </row>
    <row r="46" spans="2:9" ht="18" customHeight="1" x14ac:dyDescent="0.35">
      <c r="B46" s="52">
        <v>24</v>
      </c>
      <c r="C46" s="53">
        <v>2027</v>
      </c>
      <c r="D46" s="54" t="s">
        <v>238</v>
      </c>
      <c r="E46" s="70"/>
      <c r="F46" s="56" t="str">
        <f t="shared" si="0"/>
        <v/>
      </c>
      <c r="G46" s="57">
        <f t="shared" si="1"/>
        <v>0.95</v>
      </c>
      <c r="H46" s="56" t="str">
        <f t="shared" si="2"/>
        <v/>
      </c>
      <c r="I46" s="32" t="str">
        <f t="shared" si="3"/>
        <v>Pendiente</v>
      </c>
    </row>
    <row r="47" spans="2:9" ht="18" customHeight="1" x14ac:dyDescent="0.35">
      <c r="B47" s="52">
        <v>25</v>
      </c>
      <c r="C47" s="53">
        <v>2028</v>
      </c>
      <c r="D47" s="54" t="s">
        <v>227</v>
      </c>
      <c r="E47" s="70"/>
      <c r="F47" s="56" t="str">
        <f t="shared" si="0"/>
        <v/>
      </c>
      <c r="G47" s="57">
        <f t="shared" si="1"/>
        <v>0.95</v>
      </c>
      <c r="H47" s="56" t="str">
        <f t="shared" si="2"/>
        <v/>
      </c>
      <c r="I47" s="32" t="str">
        <f t="shared" si="3"/>
        <v>Pendiente</v>
      </c>
    </row>
    <row r="48" spans="2:9" ht="18" customHeight="1" x14ac:dyDescent="0.35">
      <c r="B48" s="52">
        <v>26</v>
      </c>
      <c r="C48" s="53">
        <v>2028</v>
      </c>
      <c r="D48" s="54" t="s">
        <v>228</v>
      </c>
      <c r="E48" s="70"/>
      <c r="F48" s="56" t="str">
        <f t="shared" si="0"/>
        <v/>
      </c>
      <c r="G48" s="57">
        <f t="shared" si="1"/>
        <v>0.95</v>
      </c>
      <c r="H48" s="56" t="str">
        <f t="shared" si="2"/>
        <v/>
      </c>
      <c r="I48" s="32" t="str">
        <f t="shared" si="3"/>
        <v>Pendiente</v>
      </c>
    </row>
    <row r="49" spans="2:9" ht="18" customHeight="1" x14ac:dyDescent="0.35">
      <c r="B49" s="52">
        <v>27</v>
      </c>
      <c r="C49" s="53">
        <v>2028</v>
      </c>
      <c r="D49" s="54" t="s">
        <v>229</v>
      </c>
      <c r="E49" s="70"/>
      <c r="F49" s="56" t="str">
        <f t="shared" si="0"/>
        <v/>
      </c>
      <c r="G49" s="57">
        <f t="shared" si="1"/>
        <v>0.95</v>
      </c>
      <c r="H49" s="56" t="str">
        <f t="shared" si="2"/>
        <v/>
      </c>
      <c r="I49" s="32" t="str">
        <f t="shared" si="3"/>
        <v>Pendiente</v>
      </c>
    </row>
    <row r="50" spans="2:9" ht="18" customHeight="1" x14ac:dyDescent="0.35">
      <c r="B50" s="52">
        <v>28</v>
      </c>
      <c r="C50" s="53">
        <v>2028</v>
      </c>
      <c r="D50" s="54" t="s">
        <v>230</v>
      </c>
      <c r="E50" s="70"/>
      <c r="F50" s="56" t="str">
        <f t="shared" si="0"/>
        <v/>
      </c>
      <c r="G50" s="57">
        <f t="shared" si="1"/>
        <v>0.95</v>
      </c>
      <c r="H50" s="56" t="str">
        <f t="shared" si="2"/>
        <v/>
      </c>
      <c r="I50" s="32" t="str">
        <f t="shared" si="3"/>
        <v>Pendiente</v>
      </c>
    </row>
    <row r="51" spans="2:9" ht="18" customHeight="1" x14ac:dyDescent="0.35">
      <c r="B51" s="52">
        <v>29</v>
      </c>
      <c r="C51" s="53">
        <v>2028</v>
      </c>
      <c r="D51" s="54" t="s">
        <v>231</v>
      </c>
      <c r="E51" s="70"/>
      <c r="F51" s="56" t="str">
        <f t="shared" si="0"/>
        <v/>
      </c>
      <c r="G51" s="57">
        <f t="shared" si="1"/>
        <v>0.95</v>
      </c>
      <c r="H51" s="56" t="str">
        <f t="shared" si="2"/>
        <v/>
      </c>
      <c r="I51" s="32" t="str">
        <f t="shared" si="3"/>
        <v>Pendiente</v>
      </c>
    </row>
    <row r="52" spans="2:9" ht="18" customHeight="1" x14ac:dyDescent="0.35">
      <c r="B52" s="52">
        <v>30</v>
      </c>
      <c r="C52" s="53">
        <v>2028</v>
      </c>
      <c r="D52" s="54" t="s">
        <v>232</v>
      </c>
      <c r="E52" s="70"/>
      <c r="F52" s="56" t="str">
        <f t="shared" si="0"/>
        <v/>
      </c>
      <c r="G52" s="57">
        <f t="shared" si="1"/>
        <v>0.95</v>
      </c>
      <c r="H52" s="56" t="str">
        <f t="shared" si="2"/>
        <v/>
      </c>
      <c r="I52" s="32" t="str">
        <f t="shared" si="3"/>
        <v>Pendiente</v>
      </c>
    </row>
    <row r="53" spans="2:9" ht="18" customHeight="1" x14ac:dyDescent="0.35">
      <c r="B53" s="52">
        <v>31</v>
      </c>
      <c r="C53" s="53">
        <v>2028</v>
      </c>
      <c r="D53" s="54" t="s">
        <v>233</v>
      </c>
      <c r="E53" s="70"/>
      <c r="F53" s="56" t="str">
        <f t="shared" si="0"/>
        <v/>
      </c>
      <c r="G53" s="57">
        <f t="shared" si="1"/>
        <v>0.95</v>
      </c>
      <c r="H53" s="56" t="str">
        <f t="shared" si="2"/>
        <v/>
      </c>
      <c r="I53" s="32" t="str">
        <f t="shared" si="3"/>
        <v>Pendiente</v>
      </c>
    </row>
    <row r="54" spans="2:9" ht="18" customHeight="1" x14ac:dyDescent="0.35">
      <c r="B54" s="52">
        <v>32</v>
      </c>
      <c r="C54" s="53">
        <v>2028</v>
      </c>
      <c r="D54" s="54" t="s">
        <v>234</v>
      </c>
      <c r="E54" s="70"/>
      <c r="F54" s="56" t="str">
        <f t="shared" si="0"/>
        <v/>
      </c>
      <c r="G54" s="57">
        <f t="shared" si="1"/>
        <v>0.95</v>
      </c>
      <c r="H54" s="56" t="str">
        <f t="shared" si="2"/>
        <v/>
      </c>
      <c r="I54" s="32" t="str">
        <f t="shared" si="3"/>
        <v>Pendiente</v>
      </c>
    </row>
    <row r="55" spans="2:9" ht="18" customHeight="1" x14ac:dyDescent="0.35">
      <c r="B55" s="52">
        <v>33</v>
      </c>
      <c r="C55" s="53">
        <v>2028</v>
      </c>
      <c r="D55" s="54" t="s">
        <v>235</v>
      </c>
      <c r="E55" s="70"/>
      <c r="F55" s="56" t="str">
        <f t="shared" ref="F55:F86" si="4">IF(E55="","",E55)</f>
        <v/>
      </c>
      <c r="G55" s="57">
        <f t="shared" ref="G55:G82" si="5">IFERROR(VLOOKUP(C55,$B$14:$C$18,2,FALSE()),"")</f>
        <v>0.95</v>
      </c>
      <c r="H55" s="56" t="str">
        <f t="shared" ref="H55:H86" si="6">IFERROR(IF(OR(F55="",NOT(ISNUMBER(G55))),"",F55/G55),"")</f>
        <v/>
      </c>
      <c r="I55" s="32" t="str">
        <f t="shared" ref="I55:I86" si="7">IFERROR(IF(H55="","Pendiente",IF(H55&gt;=0.95,"Cumple",IF(H55&gt;=0.8,"En riesgo","Crítico"))),"Pendiente")</f>
        <v>Pendiente</v>
      </c>
    </row>
    <row r="56" spans="2:9" ht="18" customHeight="1" x14ac:dyDescent="0.35">
      <c r="B56" s="52">
        <v>34</v>
      </c>
      <c r="C56" s="53">
        <v>2028</v>
      </c>
      <c r="D56" s="54" t="s">
        <v>236</v>
      </c>
      <c r="E56" s="70"/>
      <c r="F56" s="56" t="str">
        <f t="shared" si="4"/>
        <v/>
      </c>
      <c r="G56" s="57">
        <f t="shared" si="5"/>
        <v>0.95</v>
      </c>
      <c r="H56" s="56" t="str">
        <f t="shared" si="6"/>
        <v/>
      </c>
      <c r="I56" s="32" t="str">
        <f t="shared" si="7"/>
        <v>Pendiente</v>
      </c>
    </row>
    <row r="57" spans="2:9" ht="18" customHeight="1" x14ac:dyDescent="0.35">
      <c r="B57" s="52">
        <v>35</v>
      </c>
      <c r="C57" s="53">
        <v>2028</v>
      </c>
      <c r="D57" s="54" t="s">
        <v>237</v>
      </c>
      <c r="E57" s="70"/>
      <c r="F57" s="56" t="str">
        <f t="shared" si="4"/>
        <v/>
      </c>
      <c r="G57" s="57">
        <f t="shared" si="5"/>
        <v>0.95</v>
      </c>
      <c r="H57" s="56" t="str">
        <f t="shared" si="6"/>
        <v/>
      </c>
      <c r="I57" s="32" t="str">
        <f t="shared" si="7"/>
        <v>Pendiente</v>
      </c>
    </row>
    <row r="58" spans="2:9" ht="18" customHeight="1" x14ac:dyDescent="0.35">
      <c r="B58" s="52">
        <v>36</v>
      </c>
      <c r="C58" s="53">
        <v>2028</v>
      </c>
      <c r="D58" s="54" t="s">
        <v>238</v>
      </c>
      <c r="E58" s="70"/>
      <c r="F58" s="56" t="str">
        <f t="shared" si="4"/>
        <v/>
      </c>
      <c r="G58" s="57">
        <f t="shared" si="5"/>
        <v>0.95</v>
      </c>
      <c r="H58" s="56" t="str">
        <f t="shared" si="6"/>
        <v/>
      </c>
      <c r="I58" s="32" t="str">
        <f t="shared" si="7"/>
        <v>Pendiente</v>
      </c>
    </row>
    <row r="59" spans="2:9" ht="18" customHeight="1" x14ac:dyDescent="0.35">
      <c r="B59" s="52">
        <v>37</v>
      </c>
      <c r="C59" s="53">
        <v>2029</v>
      </c>
      <c r="D59" s="54" t="s">
        <v>227</v>
      </c>
      <c r="E59" s="70"/>
      <c r="F59" s="56" t="str">
        <f t="shared" si="4"/>
        <v/>
      </c>
      <c r="G59" s="57">
        <f t="shared" si="5"/>
        <v>0.95</v>
      </c>
      <c r="H59" s="56" t="str">
        <f t="shared" si="6"/>
        <v/>
      </c>
      <c r="I59" s="32" t="str">
        <f t="shared" si="7"/>
        <v>Pendiente</v>
      </c>
    </row>
    <row r="60" spans="2:9" ht="18" customHeight="1" x14ac:dyDescent="0.35">
      <c r="B60" s="52">
        <v>38</v>
      </c>
      <c r="C60" s="53">
        <v>2029</v>
      </c>
      <c r="D60" s="54" t="s">
        <v>228</v>
      </c>
      <c r="E60" s="70"/>
      <c r="F60" s="56" t="str">
        <f t="shared" si="4"/>
        <v/>
      </c>
      <c r="G60" s="57">
        <f t="shared" si="5"/>
        <v>0.95</v>
      </c>
      <c r="H60" s="56" t="str">
        <f t="shared" si="6"/>
        <v/>
      </c>
      <c r="I60" s="32" t="str">
        <f t="shared" si="7"/>
        <v>Pendiente</v>
      </c>
    </row>
    <row r="61" spans="2:9" ht="18" customHeight="1" x14ac:dyDescent="0.35">
      <c r="B61" s="52">
        <v>39</v>
      </c>
      <c r="C61" s="53">
        <v>2029</v>
      </c>
      <c r="D61" s="54" t="s">
        <v>229</v>
      </c>
      <c r="E61" s="70"/>
      <c r="F61" s="56" t="str">
        <f t="shared" si="4"/>
        <v/>
      </c>
      <c r="G61" s="57">
        <f t="shared" si="5"/>
        <v>0.95</v>
      </c>
      <c r="H61" s="56" t="str">
        <f t="shared" si="6"/>
        <v/>
      </c>
      <c r="I61" s="32" t="str">
        <f t="shared" si="7"/>
        <v>Pendiente</v>
      </c>
    </row>
    <row r="62" spans="2:9" ht="18" customHeight="1" x14ac:dyDescent="0.35">
      <c r="B62" s="52">
        <v>40</v>
      </c>
      <c r="C62" s="53">
        <v>2029</v>
      </c>
      <c r="D62" s="54" t="s">
        <v>230</v>
      </c>
      <c r="E62" s="70"/>
      <c r="F62" s="56" t="str">
        <f t="shared" si="4"/>
        <v/>
      </c>
      <c r="G62" s="57">
        <f t="shared" si="5"/>
        <v>0.95</v>
      </c>
      <c r="H62" s="56" t="str">
        <f t="shared" si="6"/>
        <v/>
      </c>
      <c r="I62" s="32" t="str">
        <f t="shared" si="7"/>
        <v>Pendiente</v>
      </c>
    </row>
    <row r="63" spans="2:9" ht="18" customHeight="1" x14ac:dyDescent="0.35">
      <c r="B63" s="52">
        <v>41</v>
      </c>
      <c r="C63" s="53">
        <v>2029</v>
      </c>
      <c r="D63" s="54" t="s">
        <v>231</v>
      </c>
      <c r="E63" s="70"/>
      <c r="F63" s="56" t="str">
        <f t="shared" si="4"/>
        <v/>
      </c>
      <c r="G63" s="57">
        <f t="shared" si="5"/>
        <v>0.95</v>
      </c>
      <c r="H63" s="56" t="str">
        <f t="shared" si="6"/>
        <v/>
      </c>
      <c r="I63" s="32" t="str">
        <f t="shared" si="7"/>
        <v>Pendiente</v>
      </c>
    </row>
    <row r="64" spans="2:9" ht="18" customHeight="1" x14ac:dyDescent="0.35">
      <c r="B64" s="52">
        <v>42</v>
      </c>
      <c r="C64" s="53">
        <v>2029</v>
      </c>
      <c r="D64" s="54" t="s">
        <v>232</v>
      </c>
      <c r="E64" s="70"/>
      <c r="F64" s="56" t="str">
        <f t="shared" si="4"/>
        <v/>
      </c>
      <c r="G64" s="57">
        <f t="shared" si="5"/>
        <v>0.95</v>
      </c>
      <c r="H64" s="56" t="str">
        <f t="shared" si="6"/>
        <v/>
      </c>
      <c r="I64" s="32" t="str">
        <f t="shared" si="7"/>
        <v>Pendiente</v>
      </c>
    </row>
    <row r="65" spans="2:9" ht="18" customHeight="1" x14ac:dyDescent="0.35">
      <c r="B65" s="52">
        <v>43</v>
      </c>
      <c r="C65" s="53">
        <v>2029</v>
      </c>
      <c r="D65" s="54" t="s">
        <v>233</v>
      </c>
      <c r="E65" s="70"/>
      <c r="F65" s="56" t="str">
        <f t="shared" si="4"/>
        <v/>
      </c>
      <c r="G65" s="57">
        <f t="shared" si="5"/>
        <v>0.95</v>
      </c>
      <c r="H65" s="56" t="str">
        <f t="shared" si="6"/>
        <v/>
      </c>
      <c r="I65" s="32" t="str">
        <f t="shared" si="7"/>
        <v>Pendiente</v>
      </c>
    </row>
    <row r="66" spans="2:9" ht="18" customHeight="1" x14ac:dyDescent="0.35">
      <c r="B66" s="52">
        <v>44</v>
      </c>
      <c r="C66" s="53">
        <v>2029</v>
      </c>
      <c r="D66" s="54" t="s">
        <v>234</v>
      </c>
      <c r="E66" s="70"/>
      <c r="F66" s="56" t="str">
        <f t="shared" si="4"/>
        <v/>
      </c>
      <c r="G66" s="57">
        <f t="shared" si="5"/>
        <v>0.95</v>
      </c>
      <c r="H66" s="56" t="str">
        <f t="shared" si="6"/>
        <v/>
      </c>
      <c r="I66" s="32" t="str">
        <f t="shared" si="7"/>
        <v>Pendiente</v>
      </c>
    </row>
    <row r="67" spans="2:9" ht="18" customHeight="1" x14ac:dyDescent="0.35">
      <c r="B67" s="52">
        <v>45</v>
      </c>
      <c r="C67" s="53">
        <v>2029</v>
      </c>
      <c r="D67" s="54" t="s">
        <v>235</v>
      </c>
      <c r="E67" s="70"/>
      <c r="F67" s="56" t="str">
        <f t="shared" si="4"/>
        <v/>
      </c>
      <c r="G67" s="57">
        <f t="shared" si="5"/>
        <v>0.95</v>
      </c>
      <c r="H67" s="56" t="str">
        <f t="shared" si="6"/>
        <v/>
      </c>
      <c r="I67" s="32" t="str">
        <f t="shared" si="7"/>
        <v>Pendiente</v>
      </c>
    </row>
    <row r="68" spans="2:9" ht="18" customHeight="1" x14ac:dyDescent="0.35">
      <c r="B68" s="52">
        <v>46</v>
      </c>
      <c r="C68" s="53">
        <v>2029</v>
      </c>
      <c r="D68" s="54" t="s">
        <v>236</v>
      </c>
      <c r="E68" s="70"/>
      <c r="F68" s="56" t="str">
        <f t="shared" si="4"/>
        <v/>
      </c>
      <c r="G68" s="57">
        <f t="shared" si="5"/>
        <v>0.95</v>
      </c>
      <c r="H68" s="56" t="str">
        <f t="shared" si="6"/>
        <v/>
      </c>
      <c r="I68" s="32" t="str">
        <f t="shared" si="7"/>
        <v>Pendiente</v>
      </c>
    </row>
    <row r="69" spans="2:9" ht="18" customHeight="1" x14ac:dyDescent="0.35">
      <c r="B69" s="52">
        <v>47</v>
      </c>
      <c r="C69" s="53">
        <v>2029</v>
      </c>
      <c r="D69" s="54" t="s">
        <v>237</v>
      </c>
      <c r="E69" s="70"/>
      <c r="F69" s="56" t="str">
        <f t="shared" si="4"/>
        <v/>
      </c>
      <c r="G69" s="57">
        <f t="shared" si="5"/>
        <v>0.95</v>
      </c>
      <c r="H69" s="56" t="str">
        <f t="shared" si="6"/>
        <v/>
      </c>
      <c r="I69" s="32" t="str">
        <f t="shared" si="7"/>
        <v>Pendiente</v>
      </c>
    </row>
    <row r="70" spans="2:9" ht="18" customHeight="1" x14ac:dyDescent="0.35">
      <c r="B70" s="52">
        <v>48</v>
      </c>
      <c r="C70" s="53">
        <v>2029</v>
      </c>
      <c r="D70" s="54" t="s">
        <v>238</v>
      </c>
      <c r="E70" s="70"/>
      <c r="F70" s="56" t="str">
        <f t="shared" si="4"/>
        <v/>
      </c>
      <c r="G70" s="57">
        <f t="shared" si="5"/>
        <v>0.95</v>
      </c>
      <c r="H70" s="56" t="str">
        <f t="shared" si="6"/>
        <v/>
      </c>
      <c r="I70" s="32" t="str">
        <f t="shared" si="7"/>
        <v>Pendiente</v>
      </c>
    </row>
    <row r="71" spans="2:9" ht="18" customHeight="1" x14ac:dyDescent="0.35">
      <c r="B71" s="52">
        <v>49</v>
      </c>
      <c r="C71" s="53">
        <v>2030</v>
      </c>
      <c r="D71" s="54" t="s">
        <v>227</v>
      </c>
      <c r="E71" s="70"/>
      <c r="F71" s="56" t="str">
        <f t="shared" si="4"/>
        <v/>
      </c>
      <c r="G71" s="57">
        <f t="shared" si="5"/>
        <v>0.95</v>
      </c>
      <c r="H71" s="56" t="str">
        <f t="shared" si="6"/>
        <v/>
      </c>
      <c r="I71" s="32" t="str">
        <f t="shared" si="7"/>
        <v>Pendiente</v>
      </c>
    </row>
    <row r="72" spans="2:9" ht="18" customHeight="1" x14ac:dyDescent="0.35">
      <c r="B72" s="52">
        <v>50</v>
      </c>
      <c r="C72" s="53">
        <v>2030</v>
      </c>
      <c r="D72" s="54" t="s">
        <v>228</v>
      </c>
      <c r="E72" s="70"/>
      <c r="F72" s="56" t="str">
        <f t="shared" si="4"/>
        <v/>
      </c>
      <c r="G72" s="57">
        <f t="shared" si="5"/>
        <v>0.95</v>
      </c>
      <c r="H72" s="56" t="str">
        <f t="shared" si="6"/>
        <v/>
      </c>
      <c r="I72" s="32" t="str">
        <f t="shared" si="7"/>
        <v>Pendiente</v>
      </c>
    </row>
    <row r="73" spans="2:9" ht="18" customHeight="1" x14ac:dyDescent="0.35">
      <c r="B73" s="52">
        <v>51</v>
      </c>
      <c r="C73" s="53">
        <v>2030</v>
      </c>
      <c r="D73" s="54" t="s">
        <v>229</v>
      </c>
      <c r="E73" s="70"/>
      <c r="F73" s="56" t="str">
        <f t="shared" si="4"/>
        <v/>
      </c>
      <c r="G73" s="57">
        <f t="shared" si="5"/>
        <v>0.95</v>
      </c>
      <c r="H73" s="56" t="str">
        <f t="shared" si="6"/>
        <v/>
      </c>
      <c r="I73" s="32" t="str">
        <f t="shared" si="7"/>
        <v>Pendiente</v>
      </c>
    </row>
    <row r="74" spans="2:9" ht="18" customHeight="1" x14ac:dyDescent="0.35">
      <c r="B74" s="52">
        <v>52</v>
      </c>
      <c r="C74" s="53">
        <v>2030</v>
      </c>
      <c r="D74" s="54" t="s">
        <v>230</v>
      </c>
      <c r="E74" s="70"/>
      <c r="F74" s="56" t="str">
        <f t="shared" si="4"/>
        <v/>
      </c>
      <c r="G74" s="57">
        <f t="shared" si="5"/>
        <v>0.95</v>
      </c>
      <c r="H74" s="56" t="str">
        <f t="shared" si="6"/>
        <v/>
      </c>
      <c r="I74" s="32" t="str">
        <f t="shared" si="7"/>
        <v>Pendiente</v>
      </c>
    </row>
    <row r="75" spans="2:9" ht="18" customHeight="1" x14ac:dyDescent="0.35">
      <c r="B75" s="52">
        <v>53</v>
      </c>
      <c r="C75" s="53">
        <v>2030</v>
      </c>
      <c r="D75" s="54" t="s">
        <v>231</v>
      </c>
      <c r="E75" s="70"/>
      <c r="F75" s="56" t="str">
        <f t="shared" si="4"/>
        <v/>
      </c>
      <c r="G75" s="57">
        <f t="shared" si="5"/>
        <v>0.95</v>
      </c>
      <c r="H75" s="56" t="str">
        <f t="shared" si="6"/>
        <v/>
      </c>
      <c r="I75" s="32" t="str">
        <f t="shared" si="7"/>
        <v>Pendiente</v>
      </c>
    </row>
    <row r="76" spans="2:9" ht="18" customHeight="1" x14ac:dyDescent="0.35">
      <c r="B76" s="52">
        <v>54</v>
      </c>
      <c r="C76" s="53">
        <v>2030</v>
      </c>
      <c r="D76" s="54" t="s">
        <v>232</v>
      </c>
      <c r="E76" s="70"/>
      <c r="F76" s="56" t="str">
        <f t="shared" si="4"/>
        <v/>
      </c>
      <c r="G76" s="57">
        <f t="shared" si="5"/>
        <v>0.95</v>
      </c>
      <c r="H76" s="56" t="str">
        <f t="shared" si="6"/>
        <v/>
      </c>
      <c r="I76" s="32" t="str">
        <f t="shared" si="7"/>
        <v>Pendiente</v>
      </c>
    </row>
    <row r="77" spans="2:9" ht="18" customHeight="1" x14ac:dyDescent="0.35">
      <c r="B77" s="52">
        <v>55</v>
      </c>
      <c r="C77" s="53">
        <v>2030</v>
      </c>
      <c r="D77" s="54" t="s">
        <v>233</v>
      </c>
      <c r="E77" s="70"/>
      <c r="F77" s="56" t="str">
        <f t="shared" si="4"/>
        <v/>
      </c>
      <c r="G77" s="57">
        <f t="shared" si="5"/>
        <v>0.95</v>
      </c>
      <c r="H77" s="56" t="str">
        <f t="shared" si="6"/>
        <v/>
      </c>
      <c r="I77" s="32" t="str">
        <f t="shared" si="7"/>
        <v>Pendiente</v>
      </c>
    </row>
    <row r="78" spans="2:9" ht="18" customHeight="1" x14ac:dyDescent="0.35">
      <c r="B78" s="52">
        <v>56</v>
      </c>
      <c r="C78" s="53">
        <v>2030</v>
      </c>
      <c r="D78" s="54" t="s">
        <v>234</v>
      </c>
      <c r="E78" s="70"/>
      <c r="F78" s="56" t="str">
        <f t="shared" si="4"/>
        <v/>
      </c>
      <c r="G78" s="57">
        <f t="shared" si="5"/>
        <v>0.95</v>
      </c>
      <c r="H78" s="56" t="str">
        <f t="shared" si="6"/>
        <v/>
      </c>
      <c r="I78" s="32" t="str">
        <f t="shared" si="7"/>
        <v>Pendiente</v>
      </c>
    </row>
    <row r="79" spans="2:9" ht="18" customHeight="1" x14ac:dyDescent="0.35">
      <c r="B79" s="52">
        <v>57</v>
      </c>
      <c r="C79" s="53">
        <v>2030</v>
      </c>
      <c r="D79" s="54" t="s">
        <v>235</v>
      </c>
      <c r="E79" s="70"/>
      <c r="F79" s="56" t="str">
        <f t="shared" si="4"/>
        <v/>
      </c>
      <c r="G79" s="57">
        <f t="shared" si="5"/>
        <v>0.95</v>
      </c>
      <c r="H79" s="56" t="str">
        <f t="shared" si="6"/>
        <v/>
      </c>
      <c r="I79" s="32" t="str">
        <f t="shared" si="7"/>
        <v>Pendiente</v>
      </c>
    </row>
    <row r="80" spans="2:9" ht="18" customHeight="1" x14ac:dyDescent="0.35">
      <c r="B80" s="52">
        <v>58</v>
      </c>
      <c r="C80" s="53">
        <v>2030</v>
      </c>
      <c r="D80" s="54" t="s">
        <v>236</v>
      </c>
      <c r="E80" s="70"/>
      <c r="F80" s="56" t="str">
        <f t="shared" si="4"/>
        <v/>
      </c>
      <c r="G80" s="57">
        <f t="shared" si="5"/>
        <v>0.95</v>
      </c>
      <c r="H80" s="56" t="str">
        <f t="shared" si="6"/>
        <v/>
      </c>
      <c r="I80" s="32" t="str">
        <f t="shared" si="7"/>
        <v>Pendiente</v>
      </c>
    </row>
    <row r="81" spans="2:9" ht="18" customHeight="1" x14ac:dyDescent="0.35">
      <c r="B81" s="52">
        <v>59</v>
      </c>
      <c r="C81" s="53">
        <v>2030</v>
      </c>
      <c r="D81" s="54" t="s">
        <v>237</v>
      </c>
      <c r="E81" s="70"/>
      <c r="F81" s="56" t="str">
        <f t="shared" si="4"/>
        <v/>
      </c>
      <c r="G81" s="57">
        <f t="shared" si="5"/>
        <v>0.95</v>
      </c>
      <c r="H81" s="56" t="str">
        <f t="shared" si="6"/>
        <v/>
      </c>
      <c r="I81" s="32" t="str">
        <f t="shared" si="7"/>
        <v>Pendiente</v>
      </c>
    </row>
    <row r="82" spans="2:9" ht="18" customHeight="1" x14ac:dyDescent="0.35">
      <c r="B82" s="52">
        <v>60</v>
      </c>
      <c r="C82" s="53">
        <v>2030</v>
      </c>
      <c r="D82" s="54" t="s">
        <v>238</v>
      </c>
      <c r="E82" s="70"/>
      <c r="F82" s="56" t="str">
        <f t="shared" si="4"/>
        <v/>
      </c>
      <c r="G82" s="57">
        <f t="shared" si="5"/>
        <v>0.95</v>
      </c>
      <c r="H82" s="56" t="str">
        <f t="shared" si="6"/>
        <v/>
      </c>
      <c r="I82" s="32" t="str">
        <f t="shared" si="7"/>
        <v>Pendiente</v>
      </c>
    </row>
  </sheetData>
  <mergeCells count="29">
    <mergeCell ref="E16:I16"/>
    <mergeCell ref="B5:C5"/>
    <mergeCell ref="B20:I20"/>
    <mergeCell ref="C13:D13"/>
    <mergeCell ref="C18:D18"/>
    <mergeCell ref="E18:I18"/>
    <mergeCell ref="E17:I17"/>
    <mergeCell ref="B12:I12"/>
    <mergeCell ref="B21:I21"/>
    <mergeCell ref="C16:D16"/>
    <mergeCell ref="B2:I2"/>
    <mergeCell ref="D9:I9"/>
    <mergeCell ref="E13:I13"/>
    <mergeCell ref="B8:C8"/>
    <mergeCell ref="D8:I8"/>
    <mergeCell ref="E15:I15"/>
    <mergeCell ref="D5:I5"/>
    <mergeCell ref="B10:C10"/>
    <mergeCell ref="B9:C9"/>
    <mergeCell ref="C17:D17"/>
    <mergeCell ref="B6:C6"/>
    <mergeCell ref="D10:I10"/>
    <mergeCell ref="B7:C7"/>
    <mergeCell ref="C15:D15"/>
    <mergeCell ref="B3:I3"/>
    <mergeCell ref="C14:D14"/>
    <mergeCell ref="E14:I14"/>
    <mergeCell ref="D7:I7"/>
    <mergeCell ref="D6:I6"/>
  </mergeCells>
  <conditionalFormatting sqref="H23:H82">
    <cfRule type="expression" dxfId="69" priority="2">
      <formula>AND(ISNUMBER(H23),H23&gt;=0.95)</formula>
    </cfRule>
    <cfRule type="expression" dxfId="68" priority="3">
      <formula>AND(ISNUMBER(H23),H23&gt;=0.8,H23&lt;0.95)</formula>
    </cfRule>
    <cfRule type="expression" dxfId="67" priority="4">
      <formula>AND(ISNUMBER(H23),H23&lt;0.8)</formula>
    </cfRule>
  </conditionalFormatting>
  <conditionalFormatting sqref="I23:I82">
    <cfRule type="expression" dxfId="66" priority="5">
      <formula>I23="Cumple"</formula>
    </cfRule>
    <cfRule type="expression" dxfId="65" priority="6">
      <formula>I23="En riesgo"</formula>
    </cfRule>
    <cfRule type="expression" dxfId="64" priority="7">
      <formula>I23="Crítico"</formula>
    </cfRule>
    <cfRule type="expression" dxfId="63" priority="8">
      <formula>I23="Pendiente"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A14B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104" t="s">
        <v>286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102" t="s">
        <v>280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179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180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181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VLOOKUP("IND-17",Parámetros!$B$6:$F$30,5,FALSE())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103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100">
        <v>3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100">
        <v>3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100">
        <v>3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100">
        <v>3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100">
        <v>3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105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287</v>
      </c>
      <c r="F22" s="21" t="s">
        <v>288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68"/>
      <c r="F23" s="68"/>
      <c r="G23" s="63" t="str">
        <f t="shared" ref="G23:G54" si="0">IFERROR(IF(F23=0,"",E23/F23),"")</f>
        <v/>
      </c>
      <c r="H23" s="64">
        <f t="shared" ref="H23:H54" si="1">IFERROR(VLOOKUP(C23,$B$14:$C$18,2,FALSE()),"")</f>
        <v>3</v>
      </c>
      <c r="I23" s="56" t="str">
        <f t="shared" ref="I23:I54" si="2">IFERROR(IF(OR(G23="",NOT(ISNUMBER(H23))),"",G23/H23),"")</f>
        <v/>
      </c>
      <c r="J23" s="32" t="str">
        <f t="shared" ref="J23:J54" si="3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68"/>
      <c r="F24" s="68"/>
      <c r="G24" s="63" t="str">
        <f t="shared" si="0"/>
        <v/>
      </c>
      <c r="H24" s="64">
        <f t="shared" si="1"/>
        <v>3</v>
      </c>
      <c r="I24" s="56" t="str">
        <f t="shared" si="2"/>
        <v/>
      </c>
      <c r="J24" s="32" t="str">
        <f t="shared" si="3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68"/>
      <c r="F25" s="68"/>
      <c r="G25" s="63" t="str">
        <f t="shared" si="0"/>
        <v/>
      </c>
      <c r="H25" s="64">
        <f t="shared" si="1"/>
        <v>3</v>
      </c>
      <c r="I25" s="56" t="str">
        <f t="shared" si="2"/>
        <v/>
      </c>
      <c r="J25" s="32" t="str">
        <f t="shared" si="3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68"/>
      <c r="F26" s="68"/>
      <c r="G26" s="63" t="str">
        <f t="shared" si="0"/>
        <v/>
      </c>
      <c r="H26" s="64">
        <f t="shared" si="1"/>
        <v>3</v>
      </c>
      <c r="I26" s="56" t="str">
        <f t="shared" si="2"/>
        <v/>
      </c>
      <c r="J26" s="32" t="str">
        <f t="shared" si="3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68"/>
      <c r="F27" s="68"/>
      <c r="G27" s="63" t="str">
        <f t="shared" si="0"/>
        <v/>
      </c>
      <c r="H27" s="64">
        <f t="shared" si="1"/>
        <v>3</v>
      </c>
      <c r="I27" s="56" t="str">
        <f t="shared" si="2"/>
        <v/>
      </c>
      <c r="J27" s="32" t="str">
        <f t="shared" si="3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68"/>
      <c r="F28" s="68"/>
      <c r="G28" s="63" t="str">
        <f t="shared" si="0"/>
        <v/>
      </c>
      <c r="H28" s="64">
        <f t="shared" si="1"/>
        <v>3</v>
      </c>
      <c r="I28" s="56" t="str">
        <f t="shared" si="2"/>
        <v/>
      </c>
      <c r="J28" s="32" t="str">
        <f t="shared" si="3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68"/>
      <c r="F29" s="68"/>
      <c r="G29" s="63" t="str">
        <f t="shared" si="0"/>
        <v/>
      </c>
      <c r="H29" s="64">
        <f t="shared" si="1"/>
        <v>3</v>
      </c>
      <c r="I29" s="56" t="str">
        <f t="shared" si="2"/>
        <v/>
      </c>
      <c r="J29" s="32" t="str">
        <f t="shared" si="3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68"/>
      <c r="F30" s="68"/>
      <c r="G30" s="63" t="str">
        <f t="shared" si="0"/>
        <v/>
      </c>
      <c r="H30" s="64">
        <f t="shared" si="1"/>
        <v>3</v>
      </c>
      <c r="I30" s="56" t="str">
        <f t="shared" si="2"/>
        <v/>
      </c>
      <c r="J30" s="32" t="str">
        <f t="shared" si="3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68"/>
      <c r="F31" s="68"/>
      <c r="G31" s="63" t="str">
        <f t="shared" si="0"/>
        <v/>
      </c>
      <c r="H31" s="64">
        <f t="shared" si="1"/>
        <v>3</v>
      </c>
      <c r="I31" s="56" t="str">
        <f t="shared" si="2"/>
        <v/>
      </c>
      <c r="J31" s="32" t="str">
        <f t="shared" si="3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68"/>
      <c r="F32" s="68"/>
      <c r="G32" s="63" t="str">
        <f t="shared" si="0"/>
        <v/>
      </c>
      <c r="H32" s="64">
        <f t="shared" si="1"/>
        <v>3</v>
      </c>
      <c r="I32" s="56" t="str">
        <f t="shared" si="2"/>
        <v/>
      </c>
      <c r="J32" s="32" t="str">
        <f t="shared" si="3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68"/>
      <c r="F33" s="68"/>
      <c r="G33" s="63" t="str">
        <f t="shared" si="0"/>
        <v/>
      </c>
      <c r="H33" s="64">
        <f t="shared" si="1"/>
        <v>3</v>
      </c>
      <c r="I33" s="56" t="str">
        <f t="shared" si="2"/>
        <v/>
      </c>
      <c r="J33" s="32" t="str">
        <f t="shared" si="3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68"/>
      <c r="F34" s="68"/>
      <c r="G34" s="63" t="str">
        <f t="shared" si="0"/>
        <v/>
      </c>
      <c r="H34" s="64">
        <f t="shared" si="1"/>
        <v>3</v>
      </c>
      <c r="I34" s="56" t="str">
        <f t="shared" si="2"/>
        <v/>
      </c>
      <c r="J34" s="32" t="str">
        <f t="shared" si="3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68"/>
      <c r="F35" s="68"/>
      <c r="G35" s="63" t="str">
        <f t="shared" si="0"/>
        <v/>
      </c>
      <c r="H35" s="64">
        <f t="shared" si="1"/>
        <v>3</v>
      </c>
      <c r="I35" s="56" t="str">
        <f t="shared" si="2"/>
        <v/>
      </c>
      <c r="J35" s="32" t="str">
        <f t="shared" si="3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68"/>
      <c r="F36" s="68"/>
      <c r="G36" s="63" t="str">
        <f t="shared" si="0"/>
        <v/>
      </c>
      <c r="H36" s="64">
        <f t="shared" si="1"/>
        <v>3</v>
      </c>
      <c r="I36" s="56" t="str">
        <f t="shared" si="2"/>
        <v/>
      </c>
      <c r="J36" s="32" t="str">
        <f t="shared" si="3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68"/>
      <c r="F37" s="68"/>
      <c r="G37" s="63" t="str">
        <f t="shared" si="0"/>
        <v/>
      </c>
      <c r="H37" s="64">
        <f t="shared" si="1"/>
        <v>3</v>
      </c>
      <c r="I37" s="56" t="str">
        <f t="shared" si="2"/>
        <v/>
      </c>
      <c r="J37" s="32" t="str">
        <f t="shared" si="3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68"/>
      <c r="F38" s="68"/>
      <c r="G38" s="63" t="str">
        <f t="shared" si="0"/>
        <v/>
      </c>
      <c r="H38" s="64">
        <f t="shared" si="1"/>
        <v>3</v>
      </c>
      <c r="I38" s="56" t="str">
        <f t="shared" si="2"/>
        <v/>
      </c>
      <c r="J38" s="3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68"/>
      <c r="F39" s="68"/>
      <c r="G39" s="63" t="str">
        <f t="shared" si="0"/>
        <v/>
      </c>
      <c r="H39" s="64">
        <f t="shared" si="1"/>
        <v>3</v>
      </c>
      <c r="I39" s="56" t="str">
        <f t="shared" si="2"/>
        <v/>
      </c>
      <c r="J39" s="3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68"/>
      <c r="F40" s="68"/>
      <c r="G40" s="63" t="str">
        <f t="shared" si="0"/>
        <v/>
      </c>
      <c r="H40" s="64">
        <f t="shared" si="1"/>
        <v>3</v>
      </c>
      <c r="I40" s="56" t="str">
        <f t="shared" si="2"/>
        <v/>
      </c>
      <c r="J40" s="3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68"/>
      <c r="F41" s="68"/>
      <c r="G41" s="63" t="str">
        <f t="shared" si="0"/>
        <v/>
      </c>
      <c r="H41" s="64">
        <f t="shared" si="1"/>
        <v>3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68"/>
      <c r="F42" s="68"/>
      <c r="G42" s="63" t="str">
        <f t="shared" si="0"/>
        <v/>
      </c>
      <c r="H42" s="64">
        <f t="shared" si="1"/>
        <v>3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68"/>
      <c r="F43" s="68"/>
      <c r="G43" s="63" t="str">
        <f t="shared" si="0"/>
        <v/>
      </c>
      <c r="H43" s="64">
        <f t="shared" si="1"/>
        <v>3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68"/>
      <c r="F44" s="68"/>
      <c r="G44" s="63" t="str">
        <f t="shared" si="0"/>
        <v/>
      </c>
      <c r="H44" s="64">
        <f t="shared" si="1"/>
        <v>3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68"/>
      <c r="F45" s="68"/>
      <c r="G45" s="63" t="str">
        <f t="shared" si="0"/>
        <v/>
      </c>
      <c r="H45" s="64">
        <f t="shared" si="1"/>
        <v>3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68"/>
      <c r="F46" s="68"/>
      <c r="G46" s="63" t="str">
        <f t="shared" si="0"/>
        <v/>
      </c>
      <c r="H46" s="64">
        <f t="shared" si="1"/>
        <v>3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68"/>
      <c r="F47" s="68"/>
      <c r="G47" s="63" t="str">
        <f t="shared" si="0"/>
        <v/>
      </c>
      <c r="H47" s="64">
        <f t="shared" si="1"/>
        <v>3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68"/>
      <c r="F48" s="68"/>
      <c r="G48" s="63" t="str">
        <f t="shared" si="0"/>
        <v/>
      </c>
      <c r="H48" s="64">
        <f t="shared" si="1"/>
        <v>3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68"/>
      <c r="F49" s="68"/>
      <c r="G49" s="63" t="str">
        <f t="shared" si="0"/>
        <v/>
      </c>
      <c r="H49" s="64">
        <f t="shared" si="1"/>
        <v>3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68"/>
      <c r="F50" s="68"/>
      <c r="G50" s="63" t="str">
        <f t="shared" si="0"/>
        <v/>
      </c>
      <c r="H50" s="64">
        <f t="shared" si="1"/>
        <v>3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68"/>
      <c r="F51" s="68"/>
      <c r="G51" s="63" t="str">
        <f t="shared" si="0"/>
        <v/>
      </c>
      <c r="H51" s="64">
        <f t="shared" si="1"/>
        <v>3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68"/>
      <c r="F52" s="68"/>
      <c r="G52" s="63" t="str">
        <f t="shared" si="0"/>
        <v/>
      </c>
      <c r="H52" s="64">
        <f t="shared" si="1"/>
        <v>3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68"/>
      <c r="F53" s="68"/>
      <c r="G53" s="63" t="str">
        <f t="shared" si="0"/>
        <v/>
      </c>
      <c r="H53" s="64">
        <f t="shared" si="1"/>
        <v>3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68"/>
      <c r="F54" s="68"/>
      <c r="G54" s="63" t="str">
        <f t="shared" si="0"/>
        <v/>
      </c>
      <c r="H54" s="64">
        <f t="shared" si="1"/>
        <v>3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68"/>
      <c r="F55" s="68"/>
      <c r="G55" s="63" t="str">
        <f t="shared" ref="G55:G86" si="4">IFERROR(IF(F55=0,"",E55/F55),"")</f>
        <v/>
      </c>
      <c r="H55" s="64">
        <f t="shared" ref="H55:H82" si="5">IFERROR(VLOOKUP(C55,$B$14:$C$18,2,FALSE()),"")</f>
        <v>3</v>
      </c>
      <c r="I55" s="56" t="str">
        <f t="shared" ref="I55:I86" si="6">IFERROR(IF(OR(G55="",NOT(ISNUMBER(H55))),"",G55/H55),"")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68"/>
      <c r="F56" s="68"/>
      <c r="G56" s="63" t="str">
        <f t="shared" si="4"/>
        <v/>
      </c>
      <c r="H56" s="64">
        <f t="shared" si="5"/>
        <v>3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68"/>
      <c r="F57" s="68"/>
      <c r="G57" s="63" t="str">
        <f t="shared" si="4"/>
        <v/>
      </c>
      <c r="H57" s="64">
        <f t="shared" si="5"/>
        <v>3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68"/>
      <c r="F58" s="68"/>
      <c r="G58" s="63" t="str">
        <f t="shared" si="4"/>
        <v/>
      </c>
      <c r="H58" s="64">
        <f t="shared" si="5"/>
        <v>3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68"/>
      <c r="F59" s="68"/>
      <c r="G59" s="63" t="str">
        <f t="shared" si="4"/>
        <v/>
      </c>
      <c r="H59" s="64">
        <f t="shared" si="5"/>
        <v>3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68"/>
      <c r="F60" s="68"/>
      <c r="G60" s="63" t="str">
        <f t="shared" si="4"/>
        <v/>
      </c>
      <c r="H60" s="64">
        <f t="shared" si="5"/>
        <v>3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68"/>
      <c r="F61" s="68"/>
      <c r="G61" s="63" t="str">
        <f t="shared" si="4"/>
        <v/>
      </c>
      <c r="H61" s="64">
        <f t="shared" si="5"/>
        <v>3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68"/>
      <c r="F62" s="68"/>
      <c r="G62" s="63" t="str">
        <f t="shared" si="4"/>
        <v/>
      </c>
      <c r="H62" s="64">
        <f t="shared" si="5"/>
        <v>3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68"/>
      <c r="F63" s="68"/>
      <c r="G63" s="63" t="str">
        <f t="shared" si="4"/>
        <v/>
      </c>
      <c r="H63" s="64">
        <f t="shared" si="5"/>
        <v>3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68"/>
      <c r="F64" s="68"/>
      <c r="G64" s="63" t="str">
        <f t="shared" si="4"/>
        <v/>
      </c>
      <c r="H64" s="64">
        <f t="shared" si="5"/>
        <v>3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68"/>
      <c r="F65" s="68"/>
      <c r="G65" s="63" t="str">
        <f t="shared" si="4"/>
        <v/>
      </c>
      <c r="H65" s="64">
        <f t="shared" si="5"/>
        <v>3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68"/>
      <c r="F66" s="68"/>
      <c r="G66" s="63" t="str">
        <f t="shared" si="4"/>
        <v/>
      </c>
      <c r="H66" s="64">
        <f t="shared" si="5"/>
        <v>3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68"/>
      <c r="F67" s="68"/>
      <c r="G67" s="63" t="str">
        <f t="shared" si="4"/>
        <v/>
      </c>
      <c r="H67" s="64">
        <f t="shared" si="5"/>
        <v>3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68"/>
      <c r="F68" s="68"/>
      <c r="G68" s="63" t="str">
        <f t="shared" si="4"/>
        <v/>
      </c>
      <c r="H68" s="64">
        <f t="shared" si="5"/>
        <v>3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68"/>
      <c r="F69" s="68"/>
      <c r="G69" s="63" t="str">
        <f t="shared" si="4"/>
        <v/>
      </c>
      <c r="H69" s="64">
        <f t="shared" si="5"/>
        <v>3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68"/>
      <c r="F70" s="68"/>
      <c r="G70" s="63" t="str">
        <f t="shared" si="4"/>
        <v/>
      </c>
      <c r="H70" s="64">
        <f t="shared" si="5"/>
        <v>3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68"/>
      <c r="F71" s="68"/>
      <c r="G71" s="63" t="str">
        <f t="shared" si="4"/>
        <v/>
      </c>
      <c r="H71" s="64">
        <f t="shared" si="5"/>
        <v>3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68"/>
      <c r="F72" s="68"/>
      <c r="G72" s="63" t="str">
        <f t="shared" si="4"/>
        <v/>
      </c>
      <c r="H72" s="64">
        <f t="shared" si="5"/>
        <v>3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68"/>
      <c r="F73" s="68"/>
      <c r="G73" s="63" t="str">
        <f t="shared" si="4"/>
        <v/>
      </c>
      <c r="H73" s="64">
        <f t="shared" si="5"/>
        <v>3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68"/>
      <c r="F74" s="68"/>
      <c r="G74" s="63" t="str">
        <f t="shared" si="4"/>
        <v/>
      </c>
      <c r="H74" s="64">
        <f t="shared" si="5"/>
        <v>3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68"/>
      <c r="F75" s="68"/>
      <c r="G75" s="63" t="str">
        <f t="shared" si="4"/>
        <v/>
      </c>
      <c r="H75" s="64">
        <f t="shared" si="5"/>
        <v>3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68"/>
      <c r="F76" s="68"/>
      <c r="G76" s="63" t="str">
        <f t="shared" si="4"/>
        <v/>
      </c>
      <c r="H76" s="64">
        <f t="shared" si="5"/>
        <v>3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68"/>
      <c r="F77" s="68"/>
      <c r="G77" s="63" t="str">
        <f t="shared" si="4"/>
        <v/>
      </c>
      <c r="H77" s="64">
        <f t="shared" si="5"/>
        <v>3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68"/>
      <c r="F78" s="68"/>
      <c r="G78" s="63" t="str">
        <f t="shared" si="4"/>
        <v/>
      </c>
      <c r="H78" s="64">
        <f t="shared" si="5"/>
        <v>3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68"/>
      <c r="F79" s="68"/>
      <c r="G79" s="63" t="str">
        <f t="shared" si="4"/>
        <v/>
      </c>
      <c r="H79" s="64">
        <f t="shared" si="5"/>
        <v>3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68"/>
      <c r="F80" s="68"/>
      <c r="G80" s="63" t="str">
        <f t="shared" si="4"/>
        <v/>
      </c>
      <c r="H80" s="64">
        <f t="shared" si="5"/>
        <v>3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68"/>
      <c r="F81" s="68"/>
      <c r="G81" s="63" t="str">
        <f t="shared" si="4"/>
        <v/>
      </c>
      <c r="H81" s="64">
        <f t="shared" si="5"/>
        <v>3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68"/>
      <c r="F82" s="68"/>
      <c r="G82" s="63" t="str">
        <f t="shared" si="4"/>
        <v/>
      </c>
      <c r="H82" s="64">
        <f t="shared" si="5"/>
        <v>3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62" priority="2">
      <formula>AND(ISNUMBER(I23),I23&gt;=0.95)</formula>
    </cfRule>
    <cfRule type="expression" dxfId="61" priority="3">
      <formula>AND(ISNUMBER(I23),I23&gt;=0.8,I23&lt;0.95)</formula>
    </cfRule>
    <cfRule type="expression" dxfId="60" priority="4">
      <formula>AND(ISNUMBER(I23),I23&lt;0.8)</formula>
    </cfRule>
  </conditionalFormatting>
  <conditionalFormatting sqref="J23:J82">
    <cfRule type="expression" dxfId="59" priority="5">
      <formula>J23="Cumple"</formula>
    </cfRule>
    <cfRule type="expression" dxfId="58" priority="6">
      <formula>J23="En riesgo"</formula>
    </cfRule>
    <cfRule type="expression" dxfId="57" priority="7">
      <formula>J23="Crítico"</formula>
    </cfRule>
    <cfRule type="expression" dxfId="56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A14B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104" t="s">
        <v>289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102" t="s">
        <v>290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182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183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38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VLOOKUP("IND-18",Parámetros!$B$6:$F$30,5,FALSE())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103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106" t="s">
        <v>205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106" t="s">
        <v>205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106" t="s">
        <v>205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106" t="s">
        <v>205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106" t="s">
        <v>205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105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291</v>
      </c>
      <c r="F22" s="21" t="s">
        <v>292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68"/>
      <c r="F23" s="68"/>
      <c r="G23" s="56" t="str">
        <f t="shared" ref="G23:G54" si="0">IFERROR(IF(F23=0,"",E23/F23),"")</f>
        <v/>
      </c>
      <c r="H23" s="57" t="str">
        <f t="shared" ref="H23:H54" si="1">IFERROR(VLOOKUP(C23,$B$14:$C$18,2,FALSE()),"")</f>
        <v>Por definir</v>
      </c>
      <c r="I23" s="56" t="str">
        <f t="shared" ref="I23:I54" si="2">IFERROR(IF(OR(G23="",NOT(ISNUMBER(H23))),"",G23/H23),"")</f>
        <v/>
      </c>
      <c r="J23" s="32" t="str">
        <f t="shared" ref="J23:J54" si="3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68"/>
      <c r="F24" s="68"/>
      <c r="G24" s="56" t="str">
        <f t="shared" si="0"/>
        <v/>
      </c>
      <c r="H24" s="57" t="str">
        <f t="shared" si="1"/>
        <v>Por definir</v>
      </c>
      <c r="I24" s="56" t="str">
        <f t="shared" si="2"/>
        <v/>
      </c>
      <c r="J24" s="32" t="str">
        <f t="shared" si="3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68"/>
      <c r="F25" s="68"/>
      <c r="G25" s="56" t="str">
        <f t="shared" si="0"/>
        <v/>
      </c>
      <c r="H25" s="57" t="str">
        <f t="shared" si="1"/>
        <v>Por definir</v>
      </c>
      <c r="I25" s="56" t="str">
        <f t="shared" si="2"/>
        <v/>
      </c>
      <c r="J25" s="32" t="str">
        <f t="shared" si="3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68"/>
      <c r="F26" s="68"/>
      <c r="G26" s="56" t="str">
        <f t="shared" si="0"/>
        <v/>
      </c>
      <c r="H26" s="57" t="str">
        <f t="shared" si="1"/>
        <v>Por definir</v>
      </c>
      <c r="I26" s="56" t="str">
        <f t="shared" si="2"/>
        <v/>
      </c>
      <c r="J26" s="32" t="str">
        <f t="shared" si="3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68"/>
      <c r="F27" s="68"/>
      <c r="G27" s="56" t="str">
        <f t="shared" si="0"/>
        <v/>
      </c>
      <c r="H27" s="57" t="str">
        <f t="shared" si="1"/>
        <v>Por definir</v>
      </c>
      <c r="I27" s="56" t="str">
        <f t="shared" si="2"/>
        <v/>
      </c>
      <c r="J27" s="32" t="str">
        <f t="shared" si="3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68"/>
      <c r="F28" s="68"/>
      <c r="G28" s="56" t="str">
        <f t="shared" si="0"/>
        <v/>
      </c>
      <c r="H28" s="57" t="str">
        <f t="shared" si="1"/>
        <v>Por definir</v>
      </c>
      <c r="I28" s="56" t="str">
        <f t="shared" si="2"/>
        <v/>
      </c>
      <c r="J28" s="32" t="str">
        <f t="shared" si="3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68"/>
      <c r="F29" s="68"/>
      <c r="G29" s="56" t="str">
        <f t="shared" si="0"/>
        <v/>
      </c>
      <c r="H29" s="57" t="str">
        <f t="shared" si="1"/>
        <v>Por definir</v>
      </c>
      <c r="I29" s="56" t="str">
        <f t="shared" si="2"/>
        <v/>
      </c>
      <c r="J29" s="32" t="str">
        <f t="shared" si="3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68"/>
      <c r="F30" s="68"/>
      <c r="G30" s="56" t="str">
        <f t="shared" si="0"/>
        <v/>
      </c>
      <c r="H30" s="57" t="str">
        <f t="shared" si="1"/>
        <v>Por definir</v>
      </c>
      <c r="I30" s="56" t="str">
        <f t="shared" si="2"/>
        <v/>
      </c>
      <c r="J30" s="32" t="str">
        <f t="shared" si="3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68"/>
      <c r="F31" s="68"/>
      <c r="G31" s="56" t="str">
        <f t="shared" si="0"/>
        <v/>
      </c>
      <c r="H31" s="57" t="str">
        <f t="shared" si="1"/>
        <v>Por definir</v>
      </c>
      <c r="I31" s="56" t="str">
        <f t="shared" si="2"/>
        <v/>
      </c>
      <c r="J31" s="32" t="str">
        <f t="shared" si="3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68"/>
      <c r="F32" s="68"/>
      <c r="G32" s="56" t="str">
        <f t="shared" si="0"/>
        <v/>
      </c>
      <c r="H32" s="57" t="str">
        <f t="shared" si="1"/>
        <v>Por definir</v>
      </c>
      <c r="I32" s="56" t="str">
        <f t="shared" si="2"/>
        <v/>
      </c>
      <c r="J32" s="32" t="str">
        <f t="shared" si="3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68"/>
      <c r="F33" s="68"/>
      <c r="G33" s="56" t="str">
        <f t="shared" si="0"/>
        <v/>
      </c>
      <c r="H33" s="57" t="str">
        <f t="shared" si="1"/>
        <v>Por definir</v>
      </c>
      <c r="I33" s="56" t="str">
        <f t="shared" si="2"/>
        <v/>
      </c>
      <c r="J33" s="32" t="str">
        <f t="shared" si="3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68"/>
      <c r="F34" s="68"/>
      <c r="G34" s="56" t="str">
        <f t="shared" si="0"/>
        <v/>
      </c>
      <c r="H34" s="57" t="str">
        <f t="shared" si="1"/>
        <v>Por definir</v>
      </c>
      <c r="I34" s="56" t="str">
        <f t="shared" si="2"/>
        <v/>
      </c>
      <c r="J34" s="32" t="str">
        <f t="shared" si="3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68"/>
      <c r="F35" s="68"/>
      <c r="G35" s="56" t="str">
        <f t="shared" si="0"/>
        <v/>
      </c>
      <c r="H35" s="57" t="str">
        <f t="shared" si="1"/>
        <v>Por definir</v>
      </c>
      <c r="I35" s="56" t="str">
        <f t="shared" si="2"/>
        <v/>
      </c>
      <c r="J35" s="32" t="str">
        <f t="shared" si="3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68"/>
      <c r="F36" s="68"/>
      <c r="G36" s="56" t="str">
        <f t="shared" si="0"/>
        <v/>
      </c>
      <c r="H36" s="57" t="str">
        <f t="shared" si="1"/>
        <v>Por definir</v>
      </c>
      <c r="I36" s="56" t="str">
        <f t="shared" si="2"/>
        <v/>
      </c>
      <c r="J36" s="32" t="str">
        <f t="shared" si="3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68"/>
      <c r="F37" s="68"/>
      <c r="G37" s="56" t="str">
        <f t="shared" si="0"/>
        <v/>
      </c>
      <c r="H37" s="57" t="str">
        <f t="shared" si="1"/>
        <v>Por definir</v>
      </c>
      <c r="I37" s="56" t="str">
        <f t="shared" si="2"/>
        <v/>
      </c>
      <c r="J37" s="32" t="str">
        <f t="shared" si="3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68"/>
      <c r="F38" s="68"/>
      <c r="G38" s="56" t="str">
        <f t="shared" si="0"/>
        <v/>
      </c>
      <c r="H38" s="57" t="str">
        <f t="shared" si="1"/>
        <v>Por definir</v>
      </c>
      <c r="I38" s="56" t="str">
        <f t="shared" si="2"/>
        <v/>
      </c>
      <c r="J38" s="32" t="str">
        <f t="shared" si="3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68"/>
      <c r="F39" s="68"/>
      <c r="G39" s="56" t="str">
        <f t="shared" si="0"/>
        <v/>
      </c>
      <c r="H39" s="57" t="str">
        <f t="shared" si="1"/>
        <v>Por definir</v>
      </c>
      <c r="I39" s="56" t="str">
        <f t="shared" si="2"/>
        <v/>
      </c>
      <c r="J39" s="32" t="str">
        <f t="shared" si="3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68"/>
      <c r="F40" s="68"/>
      <c r="G40" s="56" t="str">
        <f t="shared" si="0"/>
        <v/>
      </c>
      <c r="H40" s="57" t="str">
        <f t="shared" si="1"/>
        <v>Por definir</v>
      </c>
      <c r="I40" s="56" t="str">
        <f t="shared" si="2"/>
        <v/>
      </c>
      <c r="J40" s="32" t="str">
        <f t="shared" si="3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68"/>
      <c r="F41" s="68"/>
      <c r="G41" s="56" t="str">
        <f t="shared" si="0"/>
        <v/>
      </c>
      <c r="H41" s="57" t="str">
        <f t="shared" si="1"/>
        <v>Por definir</v>
      </c>
      <c r="I41" s="56" t="str">
        <f t="shared" si="2"/>
        <v/>
      </c>
      <c r="J41" s="32" t="str">
        <f t="shared" si="3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68"/>
      <c r="F42" s="68"/>
      <c r="G42" s="56" t="str">
        <f t="shared" si="0"/>
        <v/>
      </c>
      <c r="H42" s="57" t="str">
        <f t="shared" si="1"/>
        <v>Por definir</v>
      </c>
      <c r="I42" s="56" t="str">
        <f t="shared" si="2"/>
        <v/>
      </c>
      <c r="J42" s="32" t="str">
        <f t="shared" si="3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68"/>
      <c r="F43" s="68"/>
      <c r="G43" s="56" t="str">
        <f t="shared" si="0"/>
        <v/>
      </c>
      <c r="H43" s="57" t="str">
        <f t="shared" si="1"/>
        <v>Por definir</v>
      </c>
      <c r="I43" s="56" t="str">
        <f t="shared" si="2"/>
        <v/>
      </c>
      <c r="J43" s="32" t="str">
        <f t="shared" si="3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68"/>
      <c r="F44" s="68"/>
      <c r="G44" s="56" t="str">
        <f t="shared" si="0"/>
        <v/>
      </c>
      <c r="H44" s="57" t="str">
        <f t="shared" si="1"/>
        <v>Por definir</v>
      </c>
      <c r="I44" s="56" t="str">
        <f t="shared" si="2"/>
        <v/>
      </c>
      <c r="J44" s="32" t="str">
        <f t="shared" si="3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68"/>
      <c r="F45" s="68"/>
      <c r="G45" s="56" t="str">
        <f t="shared" si="0"/>
        <v/>
      </c>
      <c r="H45" s="57" t="str">
        <f t="shared" si="1"/>
        <v>Por definir</v>
      </c>
      <c r="I45" s="56" t="str">
        <f t="shared" si="2"/>
        <v/>
      </c>
      <c r="J45" s="32" t="str">
        <f t="shared" si="3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68"/>
      <c r="F46" s="68"/>
      <c r="G46" s="56" t="str">
        <f t="shared" si="0"/>
        <v/>
      </c>
      <c r="H46" s="57" t="str">
        <f t="shared" si="1"/>
        <v>Por definir</v>
      </c>
      <c r="I46" s="56" t="str">
        <f t="shared" si="2"/>
        <v/>
      </c>
      <c r="J46" s="32" t="str">
        <f t="shared" si="3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68"/>
      <c r="F47" s="68"/>
      <c r="G47" s="56" t="str">
        <f t="shared" si="0"/>
        <v/>
      </c>
      <c r="H47" s="57" t="str">
        <f t="shared" si="1"/>
        <v>Por definir</v>
      </c>
      <c r="I47" s="56" t="str">
        <f t="shared" si="2"/>
        <v/>
      </c>
      <c r="J47" s="32" t="str">
        <f t="shared" si="3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68"/>
      <c r="F48" s="68"/>
      <c r="G48" s="56" t="str">
        <f t="shared" si="0"/>
        <v/>
      </c>
      <c r="H48" s="57" t="str">
        <f t="shared" si="1"/>
        <v>Por definir</v>
      </c>
      <c r="I48" s="56" t="str">
        <f t="shared" si="2"/>
        <v/>
      </c>
      <c r="J48" s="32" t="str">
        <f t="shared" si="3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68"/>
      <c r="F49" s="68"/>
      <c r="G49" s="56" t="str">
        <f t="shared" si="0"/>
        <v/>
      </c>
      <c r="H49" s="57" t="str">
        <f t="shared" si="1"/>
        <v>Por definir</v>
      </c>
      <c r="I49" s="56" t="str">
        <f t="shared" si="2"/>
        <v/>
      </c>
      <c r="J49" s="32" t="str">
        <f t="shared" si="3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68"/>
      <c r="F50" s="68"/>
      <c r="G50" s="56" t="str">
        <f t="shared" si="0"/>
        <v/>
      </c>
      <c r="H50" s="57" t="str">
        <f t="shared" si="1"/>
        <v>Por definir</v>
      </c>
      <c r="I50" s="56" t="str">
        <f t="shared" si="2"/>
        <v/>
      </c>
      <c r="J50" s="32" t="str">
        <f t="shared" si="3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68"/>
      <c r="F51" s="68"/>
      <c r="G51" s="56" t="str">
        <f t="shared" si="0"/>
        <v/>
      </c>
      <c r="H51" s="57" t="str">
        <f t="shared" si="1"/>
        <v>Por definir</v>
      </c>
      <c r="I51" s="56" t="str">
        <f t="shared" si="2"/>
        <v/>
      </c>
      <c r="J51" s="32" t="str">
        <f t="shared" si="3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68"/>
      <c r="F52" s="68"/>
      <c r="G52" s="56" t="str">
        <f t="shared" si="0"/>
        <v/>
      </c>
      <c r="H52" s="57" t="str">
        <f t="shared" si="1"/>
        <v>Por definir</v>
      </c>
      <c r="I52" s="56" t="str">
        <f t="shared" si="2"/>
        <v/>
      </c>
      <c r="J52" s="32" t="str">
        <f t="shared" si="3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68"/>
      <c r="F53" s="68"/>
      <c r="G53" s="56" t="str">
        <f t="shared" si="0"/>
        <v/>
      </c>
      <c r="H53" s="57" t="str">
        <f t="shared" si="1"/>
        <v>Por definir</v>
      </c>
      <c r="I53" s="56" t="str">
        <f t="shared" si="2"/>
        <v/>
      </c>
      <c r="J53" s="32" t="str">
        <f t="shared" si="3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68"/>
      <c r="F54" s="68"/>
      <c r="G54" s="56" t="str">
        <f t="shared" si="0"/>
        <v/>
      </c>
      <c r="H54" s="57" t="str">
        <f t="shared" si="1"/>
        <v>Por definir</v>
      </c>
      <c r="I54" s="56" t="str">
        <f t="shared" si="2"/>
        <v/>
      </c>
      <c r="J54" s="32" t="str">
        <f t="shared" si="3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68"/>
      <c r="F55" s="68"/>
      <c r="G55" s="56" t="str">
        <f t="shared" ref="G55:G86" si="4">IFERROR(IF(F55=0,"",E55/F55),"")</f>
        <v/>
      </c>
      <c r="H55" s="57" t="str">
        <f t="shared" ref="H55:H82" si="5">IFERROR(VLOOKUP(C55,$B$14:$C$18,2,FALSE()),"")</f>
        <v>Por definir</v>
      </c>
      <c r="I55" s="56" t="str">
        <f t="shared" ref="I55:I86" si="6">IFERROR(IF(OR(G55="",NOT(ISNUMBER(H55))),"",G55/H55),"")</f>
        <v/>
      </c>
      <c r="J55" s="32" t="str">
        <f t="shared" ref="J55:J86" si="7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68"/>
      <c r="F56" s="68"/>
      <c r="G56" s="56" t="str">
        <f t="shared" si="4"/>
        <v/>
      </c>
      <c r="H56" s="57" t="str">
        <f t="shared" si="5"/>
        <v>Por definir</v>
      </c>
      <c r="I56" s="56" t="str">
        <f t="shared" si="6"/>
        <v/>
      </c>
      <c r="J56" s="32" t="str">
        <f t="shared" si="7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68"/>
      <c r="F57" s="68"/>
      <c r="G57" s="56" t="str">
        <f t="shared" si="4"/>
        <v/>
      </c>
      <c r="H57" s="57" t="str">
        <f t="shared" si="5"/>
        <v>Por definir</v>
      </c>
      <c r="I57" s="56" t="str">
        <f t="shared" si="6"/>
        <v/>
      </c>
      <c r="J57" s="32" t="str">
        <f t="shared" si="7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68"/>
      <c r="F58" s="68"/>
      <c r="G58" s="56" t="str">
        <f t="shared" si="4"/>
        <v/>
      </c>
      <c r="H58" s="57" t="str">
        <f t="shared" si="5"/>
        <v>Por definir</v>
      </c>
      <c r="I58" s="56" t="str">
        <f t="shared" si="6"/>
        <v/>
      </c>
      <c r="J58" s="32" t="str">
        <f t="shared" si="7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68"/>
      <c r="F59" s="68"/>
      <c r="G59" s="56" t="str">
        <f t="shared" si="4"/>
        <v/>
      </c>
      <c r="H59" s="57" t="str">
        <f t="shared" si="5"/>
        <v>Por definir</v>
      </c>
      <c r="I59" s="56" t="str">
        <f t="shared" si="6"/>
        <v/>
      </c>
      <c r="J59" s="32" t="str">
        <f t="shared" si="7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68"/>
      <c r="F60" s="68"/>
      <c r="G60" s="56" t="str">
        <f t="shared" si="4"/>
        <v/>
      </c>
      <c r="H60" s="57" t="str">
        <f t="shared" si="5"/>
        <v>Por definir</v>
      </c>
      <c r="I60" s="56" t="str">
        <f t="shared" si="6"/>
        <v/>
      </c>
      <c r="J60" s="32" t="str">
        <f t="shared" si="7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68"/>
      <c r="F61" s="68"/>
      <c r="G61" s="56" t="str">
        <f t="shared" si="4"/>
        <v/>
      </c>
      <c r="H61" s="57" t="str">
        <f t="shared" si="5"/>
        <v>Por definir</v>
      </c>
      <c r="I61" s="56" t="str">
        <f t="shared" si="6"/>
        <v/>
      </c>
      <c r="J61" s="32" t="str">
        <f t="shared" si="7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68"/>
      <c r="F62" s="68"/>
      <c r="G62" s="56" t="str">
        <f t="shared" si="4"/>
        <v/>
      </c>
      <c r="H62" s="57" t="str">
        <f t="shared" si="5"/>
        <v>Por definir</v>
      </c>
      <c r="I62" s="56" t="str">
        <f t="shared" si="6"/>
        <v/>
      </c>
      <c r="J62" s="32" t="str">
        <f t="shared" si="7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68"/>
      <c r="F63" s="68"/>
      <c r="G63" s="56" t="str">
        <f t="shared" si="4"/>
        <v/>
      </c>
      <c r="H63" s="57" t="str">
        <f t="shared" si="5"/>
        <v>Por definir</v>
      </c>
      <c r="I63" s="56" t="str">
        <f t="shared" si="6"/>
        <v/>
      </c>
      <c r="J63" s="32" t="str">
        <f t="shared" si="7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68"/>
      <c r="F64" s="68"/>
      <c r="G64" s="56" t="str">
        <f t="shared" si="4"/>
        <v/>
      </c>
      <c r="H64" s="57" t="str">
        <f t="shared" si="5"/>
        <v>Por definir</v>
      </c>
      <c r="I64" s="56" t="str">
        <f t="shared" si="6"/>
        <v/>
      </c>
      <c r="J64" s="32" t="str">
        <f t="shared" si="7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68"/>
      <c r="F65" s="68"/>
      <c r="G65" s="56" t="str">
        <f t="shared" si="4"/>
        <v/>
      </c>
      <c r="H65" s="57" t="str">
        <f t="shared" si="5"/>
        <v>Por definir</v>
      </c>
      <c r="I65" s="56" t="str">
        <f t="shared" si="6"/>
        <v/>
      </c>
      <c r="J65" s="32" t="str">
        <f t="shared" si="7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68"/>
      <c r="F66" s="68"/>
      <c r="G66" s="56" t="str">
        <f t="shared" si="4"/>
        <v/>
      </c>
      <c r="H66" s="57" t="str">
        <f t="shared" si="5"/>
        <v>Por definir</v>
      </c>
      <c r="I66" s="56" t="str">
        <f t="shared" si="6"/>
        <v/>
      </c>
      <c r="J66" s="32" t="str">
        <f t="shared" si="7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68"/>
      <c r="F67" s="68"/>
      <c r="G67" s="56" t="str">
        <f t="shared" si="4"/>
        <v/>
      </c>
      <c r="H67" s="57" t="str">
        <f t="shared" si="5"/>
        <v>Por definir</v>
      </c>
      <c r="I67" s="56" t="str">
        <f t="shared" si="6"/>
        <v/>
      </c>
      <c r="J67" s="32" t="str">
        <f t="shared" si="7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68"/>
      <c r="F68" s="68"/>
      <c r="G68" s="56" t="str">
        <f t="shared" si="4"/>
        <v/>
      </c>
      <c r="H68" s="57" t="str">
        <f t="shared" si="5"/>
        <v>Por definir</v>
      </c>
      <c r="I68" s="56" t="str">
        <f t="shared" si="6"/>
        <v/>
      </c>
      <c r="J68" s="32" t="str">
        <f t="shared" si="7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68"/>
      <c r="F69" s="68"/>
      <c r="G69" s="56" t="str">
        <f t="shared" si="4"/>
        <v/>
      </c>
      <c r="H69" s="57" t="str">
        <f t="shared" si="5"/>
        <v>Por definir</v>
      </c>
      <c r="I69" s="56" t="str">
        <f t="shared" si="6"/>
        <v/>
      </c>
      <c r="J69" s="32" t="str">
        <f t="shared" si="7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68"/>
      <c r="F70" s="68"/>
      <c r="G70" s="56" t="str">
        <f t="shared" si="4"/>
        <v/>
      </c>
      <c r="H70" s="57" t="str">
        <f t="shared" si="5"/>
        <v>Por definir</v>
      </c>
      <c r="I70" s="56" t="str">
        <f t="shared" si="6"/>
        <v/>
      </c>
      <c r="J70" s="32" t="str">
        <f t="shared" si="7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68"/>
      <c r="F71" s="68"/>
      <c r="G71" s="56" t="str">
        <f t="shared" si="4"/>
        <v/>
      </c>
      <c r="H71" s="57" t="str">
        <f t="shared" si="5"/>
        <v>Por definir</v>
      </c>
      <c r="I71" s="56" t="str">
        <f t="shared" si="6"/>
        <v/>
      </c>
      <c r="J71" s="32" t="str">
        <f t="shared" si="7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68"/>
      <c r="F72" s="68"/>
      <c r="G72" s="56" t="str">
        <f t="shared" si="4"/>
        <v/>
      </c>
      <c r="H72" s="57" t="str">
        <f t="shared" si="5"/>
        <v>Por definir</v>
      </c>
      <c r="I72" s="56" t="str">
        <f t="shared" si="6"/>
        <v/>
      </c>
      <c r="J72" s="32" t="str">
        <f t="shared" si="7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68"/>
      <c r="F73" s="68"/>
      <c r="G73" s="56" t="str">
        <f t="shared" si="4"/>
        <v/>
      </c>
      <c r="H73" s="57" t="str">
        <f t="shared" si="5"/>
        <v>Por definir</v>
      </c>
      <c r="I73" s="56" t="str">
        <f t="shared" si="6"/>
        <v/>
      </c>
      <c r="J73" s="32" t="str">
        <f t="shared" si="7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68"/>
      <c r="F74" s="68"/>
      <c r="G74" s="56" t="str">
        <f t="shared" si="4"/>
        <v/>
      </c>
      <c r="H74" s="57" t="str">
        <f t="shared" si="5"/>
        <v>Por definir</v>
      </c>
      <c r="I74" s="56" t="str">
        <f t="shared" si="6"/>
        <v/>
      </c>
      <c r="J74" s="32" t="str">
        <f t="shared" si="7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68"/>
      <c r="F75" s="68"/>
      <c r="G75" s="56" t="str">
        <f t="shared" si="4"/>
        <v/>
      </c>
      <c r="H75" s="57" t="str">
        <f t="shared" si="5"/>
        <v>Por definir</v>
      </c>
      <c r="I75" s="56" t="str">
        <f t="shared" si="6"/>
        <v/>
      </c>
      <c r="J75" s="32" t="str">
        <f t="shared" si="7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68"/>
      <c r="F76" s="68"/>
      <c r="G76" s="56" t="str">
        <f t="shared" si="4"/>
        <v/>
      </c>
      <c r="H76" s="57" t="str">
        <f t="shared" si="5"/>
        <v>Por definir</v>
      </c>
      <c r="I76" s="56" t="str">
        <f t="shared" si="6"/>
        <v/>
      </c>
      <c r="J76" s="32" t="str">
        <f t="shared" si="7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68"/>
      <c r="F77" s="68"/>
      <c r="G77" s="56" t="str">
        <f t="shared" si="4"/>
        <v/>
      </c>
      <c r="H77" s="57" t="str">
        <f t="shared" si="5"/>
        <v>Por definir</v>
      </c>
      <c r="I77" s="56" t="str">
        <f t="shared" si="6"/>
        <v/>
      </c>
      <c r="J77" s="32" t="str">
        <f t="shared" si="7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68"/>
      <c r="F78" s="68"/>
      <c r="G78" s="56" t="str">
        <f t="shared" si="4"/>
        <v/>
      </c>
      <c r="H78" s="57" t="str">
        <f t="shared" si="5"/>
        <v>Por definir</v>
      </c>
      <c r="I78" s="56" t="str">
        <f t="shared" si="6"/>
        <v/>
      </c>
      <c r="J78" s="32" t="str">
        <f t="shared" si="7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68"/>
      <c r="F79" s="68"/>
      <c r="G79" s="56" t="str">
        <f t="shared" si="4"/>
        <v/>
      </c>
      <c r="H79" s="57" t="str">
        <f t="shared" si="5"/>
        <v>Por definir</v>
      </c>
      <c r="I79" s="56" t="str">
        <f t="shared" si="6"/>
        <v/>
      </c>
      <c r="J79" s="32" t="str">
        <f t="shared" si="7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68"/>
      <c r="F80" s="68"/>
      <c r="G80" s="56" t="str">
        <f t="shared" si="4"/>
        <v/>
      </c>
      <c r="H80" s="57" t="str">
        <f t="shared" si="5"/>
        <v>Por definir</v>
      </c>
      <c r="I80" s="56" t="str">
        <f t="shared" si="6"/>
        <v/>
      </c>
      <c r="J80" s="32" t="str">
        <f t="shared" si="7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68"/>
      <c r="F81" s="68"/>
      <c r="G81" s="56" t="str">
        <f t="shared" si="4"/>
        <v/>
      </c>
      <c r="H81" s="57" t="str">
        <f t="shared" si="5"/>
        <v>Por definir</v>
      </c>
      <c r="I81" s="56" t="str">
        <f t="shared" si="6"/>
        <v/>
      </c>
      <c r="J81" s="32" t="str">
        <f t="shared" si="7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68"/>
      <c r="F82" s="68"/>
      <c r="G82" s="56" t="str">
        <f t="shared" si="4"/>
        <v/>
      </c>
      <c r="H82" s="57" t="str">
        <f t="shared" si="5"/>
        <v>Por definir</v>
      </c>
      <c r="I82" s="56" t="str">
        <f t="shared" si="6"/>
        <v/>
      </c>
      <c r="J82" s="32" t="str">
        <f t="shared" si="7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55" priority="2">
      <formula>AND(ISNUMBER(I23),I23&gt;=0.95)</formula>
    </cfRule>
    <cfRule type="expression" dxfId="54" priority="3">
      <formula>AND(ISNUMBER(I23),I23&gt;=0.8,I23&lt;0.95)</formula>
    </cfRule>
    <cfRule type="expression" dxfId="53" priority="4">
      <formula>AND(ISNUMBER(I23),I23&lt;0.8)</formula>
    </cfRule>
  </conditionalFormatting>
  <conditionalFormatting sqref="J23:J82">
    <cfRule type="expression" dxfId="52" priority="5">
      <formula>J23="Cumple"</formula>
    </cfRule>
    <cfRule type="expression" dxfId="51" priority="6">
      <formula>J23="En riesgo"</formula>
    </cfRule>
    <cfRule type="expression" dxfId="50" priority="7">
      <formula>J23="Crítico"</formula>
    </cfRule>
    <cfRule type="expression" dxfId="49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A14B"/>
  </sheetPr>
  <dimension ref="B2:I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5" width="22" customWidth="1"/>
    <col min="6" max="6" width="15" customWidth="1"/>
    <col min="7" max="7" width="12" customWidth="1"/>
    <col min="8" max="9" width="13" customWidth="1"/>
  </cols>
  <sheetData>
    <row r="2" spans="2:9" ht="27.75" customHeight="1" x14ac:dyDescent="0.35">
      <c r="B2" s="104" t="s">
        <v>293</v>
      </c>
      <c r="C2" s="72"/>
      <c r="D2" s="72"/>
      <c r="E2" s="72"/>
      <c r="F2" s="72"/>
      <c r="G2" s="72"/>
      <c r="H2" s="72"/>
      <c r="I2" s="72"/>
    </row>
    <row r="3" spans="2:9" ht="18" customHeight="1" x14ac:dyDescent="0.35">
      <c r="B3" s="102" t="s">
        <v>290</v>
      </c>
      <c r="C3" s="72"/>
      <c r="D3" s="72"/>
      <c r="E3" s="72"/>
      <c r="F3" s="72"/>
      <c r="G3" s="72"/>
      <c r="H3" s="72"/>
      <c r="I3" s="72"/>
    </row>
    <row r="5" spans="2:9" ht="25.5" customHeight="1" x14ac:dyDescent="0.35">
      <c r="B5" s="88" t="s">
        <v>113</v>
      </c>
      <c r="C5" s="81"/>
      <c r="D5" s="89" t="s">
        <v>184</v>
      </c>
      <c r="E5" s="80"/>
      <c r="F5" s="80"/>
      <c r="G5" s="80"/>
      <c r="H5" s="80"/>
      <c r="I5" s="81"/>
    </row>
    <row r="6" spans="2:9" ht="25.5" customHeight="1" x14ac:dyDescent="0.35">
      <c r="B6" s="88" t="s">
        <v>114</v>
      </c>
      <c r="C6" s="81"/>
      <c r="D6" s="89" t="s">
        <v>185</v>
      </c>
      <c r="E6" s="80"/>
      <c r="F6" s="80"/>
      <c r="G6" s="80"/>
      <c r="H6" s="80"/>
      <c r="I6" s="81"/>
    </row>
    <row r="7" spans="2:9" ht="19.5" customHeight="1" x14ac:dyDescent="0.35">
      <c r="B7" s="88" t="s">
        <v>115</v>
      </c>
      <c r="C7" s="81"/>
      <c r="D7" s="89" t="s">
        <v>178</v>
      </c>
      <c r="E7" s="80"/>
      <c r="F7" s="80"/>
      <c r="G7" s="80"/>
      <c r="H7" s="80"/>
      <c r="I7" s="81"/>
    </row>
    <row r="8" spans="2:9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1"/>
    </row>
    <row r="9" spans="2:9" ht="19.5" customHeight="1" x14ac:dyDescent="0.35">
      <c r="B9" s="88" t="s">
        <v>33</v>
      </c>
      <c r="C9" s="81"/>
      <c r="D9" s="89" t="s">
        <v>83</v>
      </c>
      <c r="E9" s="80"/>
      <c r="F9" s="80"/>
      <c r="G9" s="80"/>
      <c r="H9" s="80"/>
      <c r="I9" s="81"/>
    </row>
    <row r="10" spans="2:9" ht="19.5" customHeight="1" x14ac:dyDescent="0.35">
      <c r="B10" s="88" t="s">
        <v>117</v>
      </c>
      <c r="C10" s="81"/>
      <c r="D10" s="93" t="str">
        <f>VLOOKUP("IND-19",Parámetros!$B$6:$F$30,5,FALSE())</f>
        <v>Por definir</v>
      </c>
      <c r="E10" s="80"/>
      <c r="F10" s="80"/>
      <c r="G10" s="80"/>
      <c r="H10" s="80"/>
      <c r="I10" s="81"/>
    </row>
    <row r="12" spans="2:9" ht="19.5" customHeight="1" x14ac:dyDescent="0.35">
      <c r="B12" s="103" t="s">
        <v>215</v>
      </c>
      <c r="C12" s="72"/>
      <c r="D12" s="72"/>
      <c r="E12" s="72"/>
      <c r="F12" s="72"/>
      <c r="G12" s="72"/>
      <c r="H12" s="72"/>
      <c r="I12" s="72"/>
    </row>
    <row r="13" spans="2:9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1"/>
    </row>
    <row r="14" spans="2:9" ht="19.5" customHeight="1" x14ac:dyDescent="0.35">
      <c r="B14" s="51">
        <v>2026</v>
      </c>
      <c r="C14" s="106" t="s">
        <v>205</v>
      </c>
      <c r="D14" s="81"/>
      <c r="E14" s="92"/>
      <c r="F14" s="80"/>
      <c r="G14" s="80"/>
      <c r="H14" s="80"/>
      <c r="I14" s="80"/>
    </row>
    <row r="15" spans="2:9" ht="19.5" customHeight="1" x14ac:dyDescent="0.35">
      <c r="B15" s="51">
        <v>2027</v>
      </c>
      <c r="C15" s="106" t="s">
        <v>205</v>
      </c>
      <c r="D15" s="81"/>
      <c r="E15" s="92"/>
      <c r="F15" s="80"/>
      <c r="G15" s="80"/>
      <c r="H15" s="80"/>
      <c r="I15" s="80"/>
    </row>
    <row r="16" spans="2:9" ht="19.5" customHeight="1" x14ac:dyDescent="0.35">
      <c r="B16" s="51">
        <v>2028</v>
      </c>
      <c r="C16" s="106" t="s">
        <v>205</v>
      </c>
      <c r="D16" s="81"/>
      <c r="E16" s="92"/>
      <c r="F16" s="80"/>
      <c r="G16" s="80"/>
      <c r="H16" s="80"/>
      <c r="I16" s="80"/>
    </row>
    <row r="17" spans="2:9" ht="19.5" customHeight="1" x14ac:dyDescent="0.35">
      <c r="B17" s="51">
        <v>2029</v>
      </c>
      <c r="C17" s="106" t="s">
        <v>205</v>
      </c>
      <c r="D17" s="81"/>
      <c r="E17" s="92"/>
      <c r="F17" s="80"/>
      <c r="G17" s="80"/>
      <c r="H17" s="80"/>
      <c r="I17" s="80"/>
    </row>
    <row r="18" spans="2:9" ht="19.5" customHeight="1" x14ac:dyDescent="0.35">
      <c r="B18" s="51">
        <v>2030</v>
      </c>
      <c r="C18" s="106" t="s">
        <v>205</v>
      </c>
      <c r="D18" s="81"/>
      <c r="E18" s="92"/>
      <c r="F18" s="80"/>
      <c r="G18" s="80"/>
      <c r="H18" s="80"/>
      <c r="I18" s="80"/>
    </row>
    <row r="20" spans="2:9" ht="19.5" customHeight="1" x14ac:dyDescent="0.35">
      <c r="B20" s="105" t="s">
        <v>218</v>
      </c>
      <c r="C20" s="72"/>
      <c r="D20" s="72"/>
      <c r="E20" s="72"/>
      <c r="F20" s="72"/>
      <c r="G20" s="72"/>
      <c r="H20" s="72"/>
      <c r="I20" s="72"/>
    </row>
    <row r="21" spans="2:9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</row>
    <row r="22" spans="2:9" ht="30" customHeight="1" x14ac:dyDescent="0.35">
      <c r="B22" s="21" t="s">
        <v>220</v>
      </c>
      <c r="C22" s="21" t="s">
        <v>208</v>
      </c>
      <c r="D22" s="21" t="s">
        <v>209</v>
      </c>
      <c r="E22" s="21" t="s">
        <v>294</v>
      </c>
      <c r="F22" s="21" t="s">
        <v>223</v>
      </c>
      <c r="G22" s="21" t="s">
        <v>224</v>
      </c>
      <c r="H22" s="21" t="s">
        <v>225</v>
      </c>
      <c r="I22" s="21" t="s">
        <v>226</v>
      </c>
    </row>
    <row r="23" spans="2:9" ht="18" customHeight="1" x14ac:dyDescent="0.35">
      <c r="B23" s="52">
        <v>1</v>
      </c>
      <c r="C23" s="53">
        <v>2026</v>
      </c>
      <c r="D23" s="54" t="s">
        <v>227</v>
      </c>
      <c r="E23" s="65"/>
      <c r="F23" s="66"/>
      <c r="G23" s="57" t="str">
        <f t="shared" ref="G23:G54" si="0">IFERROR(VLOOKUP(C23,$B$14:$C$18,2,FALSE()),"")</f>
        <v>Por definir</v>
      </c>
      <c r="H23" s="56" t="str">
        <f t="shared" ref="H23:H54" si="1">IFERROR(IF(OR(F23="",NOT(ISNUMBER(G23))),"",F23/G23),"")</f>
        <v/>
      </c>
      <c r="I23" s="32" t="str">
        <f t="shared" ref="I23:I54" si="2">IFERROR(IF(H23="","Pendiente",IF(H23&gt;=0.95,"Cumple",IF(H23&gt;=0.8,"En riesgo","Crítico"))),"Pendiente")</f>
        <v>Pendiente</v>
      </c>
    </row>
    <row r="24" spans="2:9" ht="18" customHeight="1" x14ac:dyDescent="0.35">
      <c r="B24" s="52">
        <v>2</v>
      </c>
      <c r="C24" s="53">
        <v>2026</v>
      </c>
      <c r="D24" s="54" t="s">
        <v>228</v>
      </c>
      <c r="E24" s="65"/>
      <c r="F24" s="66"/>
      <c r="G24" s="57" t="str">
        <f t="shared" si="0"/>
        <v>Por definir</v>
      </c>
      <c r="H24" s="56" t="str">
        <f t="shared" si="1"/>
        <v/>
      </c>
      <c r="I24" s="32" t="str">
        <f t="shared" si="2"/>
        <v>Pendiente</v>
      </c>
    </row>
    <row r="25" spans="2:9" ht="18" customHeight="1" x14ac:dyDescent="0.35">
      <c r="B25" s="52">
        <v>3</v>
      </c>
      <c r="C25" s="53">
        <v>2026</v>
      </c>
      <c r="D25" s="54" t="s">
        <v>229</v>
      </c>
      <c r="E25" s="70"/>
      <c r="F25" s="56" t="str">
        <f>IF(E25="","",E25)</f>
        <v/>
      </c>
      <c r="G25" s="57" t="str">
        <f t="shared" si="0"/>
        <v>Por definir</v>
      </c>
      <c r="H25" s="56" t="str">
        <f t="shared" si="1"/>
        <v/>
      </c>
      <c r="I25" s="32" t="str">
        <f t="shared" si="2"/>
        <v>Pendiente</v>
      </c>
    </row>
    <row r="26" spans="2:9" ht="18" customHeight="1" x14ac:dyDescent="0.35">
      <c r="B26" s="52">
        <v>4</v>
      </c>
      <c r="C26" s="53">
        <v>2026</v>
      </c>
      <c r="D26" s="54" t="s">
        <v>230</v>
      </c>
      <c r="E26" s="65"/>
      <c r="F26" s="66"/>
      <c r="G26" s="57" t="str">
        <f t="shared" si="0"/>
        <v>Por definir</v>
      </c>
      <c r="H26" s="56" t="str">
        <f t="shared" si="1"/>
        <v/>
      </c>
      <c r="I26" s="32" t="str">
        <f t="shared" si="2"/>
        <v>Pendiente</v>
      </c>
    </row>
    <row r="27" spans="2:9" ht="18" customHeight="1" x14ac:dyDescent="0.35">
      <c r="B27" s="52">
        <v>5</v>
      </c>
      <c r="C27" s="53">
        <v>2026</v>
      </c>
      <c r="D27" s="54" t="s">
        <v>231</v>
      </c>
      <c r="E27" s="65"/>
      <c r="F27" s="66"/>
      <c r="G27" s="57" t="str">
        <f t="shared" si="0"/>
        <v>Por definir</v>
      </c>
      <c r="H27" s="56" t="str">
        <f t="shared" si="1"/>
        <v/>
      </c>
      <c r="I27" s="32" t="str">
        <f t="shared" si="2"/>
        <v>Pendiente</v>
      </c>
    </row>
    <row r="28" spans="2:9" ht="18" customHeight="1" x14ac:dyDescent="0.35">
      <c r="B28" s="52">
        <v>6</v>
      </c>
      <c r="C28" s="53">
        <v>2026</v>
      </c>
      <c r="D28" s="54" t="s">
        <v>232</v>
      </c>
      <c r="E28" s="70"/>
      <c r="F28" s="56" t="str">
        <f>IF(E28="","",E28)</f>
        <v/>
      </c>
      <c r="G28" s="57" t="str">
        <f t="shared" si="0"/>
        <v>Por definir</v>
      </c>
      <c r="H28" s="56" t="str">
        <f t="shared" si="1"/>
        <v/>
      </c>
      <c r="I28" s="32" t="str">
        <f t="shared" si="2"/>
        <v>Pendiente</v>
      </c>
    </row>
    <row r="29" spans="2:9" ht="18" customHeight="1" x14ac:dyDescent="0.35">
      <c r="B29" s="52">
        <v>7</v>
      </c>
      <c r="C29" s="53">
        <v>2026</v>
      </c>
      <c r="D29" s="54" t="s">
        <v>233</v>
      </c>
      <c r="E29" s="65"/>
      <c r="F29" s="66"/>
      <c r="G29" s="57" t="str">
        <f t="shared" si="0"/>
        <v>Por definir</v>
      </c>
      <c r="H29" s="56" t="str">
        <f t="shared" si="1"/>
        <v/>
      </c>
      <c r="I29" s="32" t="str">
        <f t="shared" si="2"/>
        <v>Pendiente</v>
      </c>
    </row>
    <row r="30" spans="2:9" ht="18" customHeight="1" x14ac:dyDescent="0.35">
      <c r="B30" s="52">
        <v>8</v>
      </c>
      <c r="C30" s="53">
        <v>2026</v>
      </c>
      <c r="D30" s="54" t="s">
        <v>234</v>
      </c>
      <c r="E30" s="65"/>
      <c r="F30" s="66"/>
      <c r="G30" s="57" t="str">
        <f t="shared" si="0"/>
        <v>Por definir</v>
      </c>
      <c r="H30" s="56" t="str">
        <f t="shared" si="1"/>
        <v/>
      </c>
      <c r="I30" s="32" t="str">
        <f t="shared" si="2"/>
        <v>Pendiente</v>
      </c>
    </row>
    <row r="31" spans="2:9" ht="18" customHeight="1" x14ac:dyDescent="0.35">
      <c r="B31" s="52">
        <v>9</v>
      </c>
      <c r="C31" s="53">
        <v>2026</v>
      </c>
      <c r="D31" s="54" t="s">
        <v>235</v>
      </c>
      <c r="E31" s="70"/>
      <c r="F31" s="56" t="str">
        <f>IF(E31="","",E31)</f>
        <v/>
      </c>
      <c r="G31" s="57" t="str">
        <f t="shared" si="0"/>
        <v>Por definir</v>
      </c>
      <c r="H31" s="56" t="str">
        <f t="shared" si="1"/>
        <v/>
      </c>
      <c r="I31" s="32" t="str">
        <f t="shared" si="2"/>
        <v>Pendiente</v>
      </c>
    </row>
    <row r="32" spans="2:9" ht="18" customHeight="1" x14ac:dyDescent="0.35">
      <c r="B32" s="52">
        <v>10</v>
      </c>
      <c r="C32" s="53">
        <v>2026</v>
      </c>
      <c r="D32" s="54" t="s">
        <v>236</v>
      </c>
      <c r="E32" s="65"/>
      <c r="F32" s="66"/>
      <c r="G32" s="57" t="str">
        <f t="shared" si="0"/>
        <v>Por definir</v>
      </c>
      <c r="H32" s="56" t="str">
        <f t="shared" si="1"/>
        <v/>
      </c>
      <c r="I32" s="32" t="str">
        <f t="shared" si="2"/>
        <v>Pendiente</v>
      </c>
    </row>
    <row r="33" spans="2:9" ht="18" customHeight="1" x14ac:dyDescent="0.35">
      <c r="B33" s="52">
        <v>11</v>
      </c>
      <c r="C33" s="53">
        <v>2026</v>
      </c>
      <c r="D33" s="54" t="s">
        <v>237</v>
      </c>
      <c r="E33" s="65"/>
      <c r="F33" s="66"/>
      <c r="G33" s="57" t="str">
        <f t="shared" si="0"/>
        <v>Por definir</v>
      </c>
      <c r="H33" s="56" t="str">
        <f t="shared" si="1"/>
        <v/>
      </c>
      <c r="I33" s="32" t="str">
        <f t="shared" si="2"/>
        <v>Pendiente</v>
      </c>
    </row>
    <row r="34" spans="2:9" ht="18" customHeight="1" x14ac:dyDescent="0.35">
      <c r="B34" s="52">
        <v>12</v>
      </c>
      <c r="C34" s="53">
        <v>2026</v>
      </c>
      <c r="D34" s="54" t="s">
        <v>238</v>
      </c>
      <c r="E34" s="70"/>
      <c r="F34" s="56" t="str">
        <f>IF(E34="","",E34)</f>
        <v/>
      </c>
      <c r="G34" s="57" t="str">
        <f t="shared" si="0"/>
        <v>Por definir</v>
      </c>
      <c r="H34" s="56" t="str">
        <f t="shared" si="1"/>
        <v/>
      </c>
      <c r="I34" s="32" t="str">
        <f t="shared" si="2"/>
        <v>Pendiente</v>
      </c>
    </row>
    <row r="35" spans="2:9" ht="18" customHeight="1" x14ac:dyDescent="0.35">
      <c r="B35" s="52">
        <v>13</v>
      </c>
      <c r="C35" s="53">
        <v>2027</v>
      </c>
      <c r="D35" s="54" t="s">
        <v>227</v>
      </c>
      <c r="E35" s="65"/>
      <c r="F35" s="66"/>
      <c r="G35" s="57" t="str">
        <f t="shared" si="0"/>
        <v>Por definir</v>
      </c>
      <c r="H35" s="56" t="str">
        <f t="shared" si="1"/>
        <v/>
      </c>
      <c r="I35" s="32" t="str">
        <f t="shared" si="2"/>
        <v>Pendiente</v>
      </c>
    </row>
    <row r="36" spans="2:9" ht="18" customHeight="1" x14ac:dyDescent="0.35">
      <c r="B36" s="52">
        <v>14</v>
      </c>
      <c r="C36" s="53">
        <v>2027</v>
      </c>
      <c r="D36" s="54" t="s">
        <v>228</v>
      </c>
      <c r="E36" s="65"/>
      <c r="F36" s="66"/>
      <c r="G36" s="57" t="str">
        <f t="shared" si="0"/>
        <v>Por definir</v>
      </c>
      <c r="H36" s="56" t="str">
        <f t="shared" si="1"/>
        <v/>
      </c>
      <c r="I36" s="32" t="str">
        <f t="shared" si="2"/>
        <v>Pendiente</v>
      </c>
    </row>
    <row r="37" spans="2:9" ht="18" customHeight="1" x14ac:dyDescent="0.35">
      <c r="B37" s="52">
        <v>15</v>
      </c>
      <c r="C37" s="53">
        <v>2027</v>
      </c>
      <c r="D37" s="54" t="s">
        <v>229</v>
      </c>
      <c r="E37" s="70"/>
      <c r="F37" s="56" t="str">
        <f>IF(E37="","",E37)</f>
        <v/>
      </c>
      <c r="G37" s="57" t="str">
        <f t="shared" si="0"/>
        <v>Por definir</v>
      </c>
      <c r="H37" s="56" t="str">
        <f t="shared" si="1"/>
        <v/>
      </c>
      <c r="I37" s="32" t="str">
        <f t="shared" si="2"/>
        <v>Pendiente</v>
      </c>
    </row>
    <row r="38" spans="2:9" ht="18" customHeight="1" x14ac:dyDescent="0.35">
      <c r="B38" s="52">
        <v>16</v>
      </c>
      <c r="C38" s="53">
        <v>2027</v>
      </c>
      <c r="D38" s="54" t="s">
        <v>230</v>
      </c>
      <c r="E38" s="65"/>
      <c r="F38" s="66"/>
      <c r="G38" s="57" t="str">
        <f t="shared" si="0"/>
        <v>Por definir</v>
      </c>
      <c r="H38" s="56" t="str">
        <f t="shared" si="1"/>
        <v/>
      </c>
      <c r="I38" s="32" t="str">
        <f t="shared" si="2"/>
        <v>Pendiente</v>
      </c>
    </row>
    <row r="39" spans="2:9" ht="18" customHeight="1" x14ac:dyDescent="0.35">
      <c r="B39" s="52">
        <v>17</v>
      </c>
      <c r="C39" s="53">
        <v>2027</v>
      </c>
      <c r="D39" s="54" t="s">
        <v>231</v>
      </c>
      <c r="E39" s="65"/>
      <c r="F39" s="66"/>
      <c r="G39" s="57" t="str">
        <f t="shared" si="0"/>
        <v>Por definir</v>
      </c>
      <c r="H39" s="56" t="str">
        <f t="shared" si="1"/>
        <v/>
      </c>
      <c r="I39" s="32" t="str">
        <f t="shared" si="2"/>
        <v>Pendiente</v>
      </c>
    </row>
    <row r="40" spans="2:9" ht="18" customHeight="1" x14ac:dyDescent="0.35">
      <c r="B40" s="52">
        <v>18</v>
      </c>
      <c r="C40" s="53">
        <v>2027</v>
      </c>
      <c r="D40" s="54" t="s">
        <v>232</v>
      </c>
      <c r="E40" s="70"/>
      <c r="F40" s="56" t="str">
        <f>IF(E40="","",E40)</f>
        <v/>
      </c>
      <c r="G40" s="57" t="str">
        <f t="shared" si="0"/>
        <v>Por definir</v>
      </c>
      <c r="H40" s="56" t="str">
        <f t="shared" si="1"/>
        <v/>
      </c>
      <c r="I40" s="32" t="str">
        <f t="shared" si="2"/>
        <v>Pendiente</v>
      </c>
    </row>
    <row r="41" spans="2:9" ht="18" customHeight="1" x14ac:dyDescent="0.35">
      <c r="B41" s="52">
        <v>19</v>
      </c>
      <c r="C41" s="53">
        <v>2027</v>
      </c>
      <c r="D41" s="54" t="s">
        <v>233</v>
      </c>
      <c r="E41" s="65"/>
      <c r="F41" s="66"/>
      <c r="G41" s="57" t="str">
        <f t="shared" si="0"/>
        <v>Por definir</v>
      </c>
      <c r="H41" s="56" t="str">
        <f t="shared" si="1"/>
        <v/>
      </c>
      <c r="I41" s="32" t="str">
        <f t="shared" si="2"/>
        <v>Pendiente</v>
      </c>
    </row>
    <row r="42" spans="2:9" ht="18" customHeight="1" x14ac:dyDescent="0.35">
      <c r="B42" s="52">
        <v>20</v>
      </c>
      <c r="C42" s="53">
        <v>2027</v>
      </c>
      <c r="D42" s="54" t="s">
        <v>234</v>
      </c>
      <c r="E42" s="65"/>
      <c r="F42" s="66"/>
      <c r="G42" s="57" t="str">
        <f t="shared" si="0"/>
        <v>Por definir</v>
      </c>
      <c r="H42" s="56" t="str">
        <f t="shared" si="1"/>
        <v/>
      </c>
      <c r="I42" s="32" t="str">
        <f t="shared" si="2"/>
        <v>Pendiente</v>
      </c>
    </row>
    <row r="43" spans="2:9" ht="18" customHeight="1" x14ac:dyDescent="0.35">
      <c r="B43" s="52">
        <v>21</v>
      </c>
      <c r="C43" s="53">
        <v>2027</v>
      </c>
      <c r="D43" s="54" t="s">
        <v>235</v>
      </c>
      <c r="E43" s="70"/>
      <c r="F43" s="56" t="str">
        <f>IF(E43="","",E43)</f>
        <v/>
      </c>
      <c r="G43" s="57" t="str">
        <f t="shared" si="0"/>
        <v>Por definir</v>
      </c>
      <c r="H43" s="56" t="str">
        <f t="shared" si="1"/>
        <v/>
      </c>
      <c r="I43" s="32" t="str">
        <f t="shared" si="2"/>
        <v>Pendiente</v>
      </c>
    </row>
    <row r="44" spans="2:9" ht="18" customHeight="1" x14ac:dyDescent="0.35">
      <c r="B44" s="52">
        <v>22</v>
      </c>
      <c r="C44" s="53">
        <v>2027</v>
      </c>
      <c r="D44" s="54" t="s">
        <v>236</v>
      </c>
      <c r="E44" s="65"/>
      <c r="F44" s="66"/>
      <c r="G44" s="57" t="str">
        <f t="shared" si="0"/>
        <v>Por definir</v>
      </c>
      <c r="H44" s="56" t="str">
        <f t="shared" si="1"/>
        <v/>
      </c>
      <c r="I44" s="32" t="str">
        <f t="shared" si="2"/>
        <v>Pendiente</v>
      </c>
    </row>
    <row r="45" spans="2:9" ht="18" customHeight="1" x14ac:dyDescent="0.35">
      <c r="B45" s="52">
        <v>23</v>
      </c>
      <c r="C45" s="53">
        <v>2027</v>
      </c>
      <c r="D45" s="54" t="s">
        <v>237</v>
      </c>
      <c r="E45" s="65"/>
      <c r="F45" s="66"/>
      <c r="G45" s="57" t="str">
        <f t="shared" si="0"/>
        <v>Por definir</v>
      </c>
      <c r="H45" s="56" t="str">
        <f t="shared" si="1"/>
        <v/>
      </c>
      <c r="I45" s="32" t="str">
        <f t="shared" si="2"/>
        <v>Pendiente</v>
      </c>
    </row>
    <row r="46" spans="2:9" ht="18" customHeight="1" x14ac:dyDescent="0.35">
      <c r="B46" s="52">
        <v>24</v>
      </c>
      <c r="C46" s="53">
        <v>2027</v>
      </c>
      <c r="D46" s="54" t="s">
        <v>238</v>
      </c>
      <c r="E46" s="70"/>
      <c r="F46" s="56" t="str">
        <f>IF(E46="","",E46)</f>
        <v/>
      </c>
      <c r="G46" s="57" t="str">
        <f t="shared" si="0"/>
        <v>Por definir</v>
      </c>
      <c r="H46" s="56" t="str">
        <f t="shared" si="1"/>
        <v/>
      </c>
      <c r="I46" s="32" t="str">
        <f t="shared" si="2"/>
        <v>Pendiente</v>
      </c>
    </row>
    <row r="47" spans="2:9" ht="18" customHeight="1" x14ac:dyDescent="0.35">
      <c r="B47" s="52">
        <v>25</v>
      </c>
      <c r="C47" s="53">
        <v>2028</v>
      </c>
      <c r="D47" s="54" t="s">
        <v>227</v>
      </c>
      <c r="E47" s="65"/>
      <c r="F47" s="66"/>
      <c r="G47" s="57" t="str">
        <f t="shared" si="0"/>
        <v>Por definir</v>
      </c>
      <c r="H47" s="56" t="str">
        <f t="shared" si="1"/>
        <v/>
      </c>
      <c r="I47" s="32" t="str">
        <f t="shared" si="2"/>
        <v>Pendiente</v>
      </c>
    </row>
    <row r="48" spans="2:9" ht="18" customHeight="1" x14ac:dyDescent="0.35">
      <c r="B48" s="52">
        <v>26</v>
      </c>
      <c r="C48" s="53">
        <v>2028</v>
      </c>
      <c r="D48" s="54" t="s">
        <v>228</v>
      </c>
      <c r="E48" s="65"/>
      <c r="F48" s="66"/>
      <c r="G48" s="57" t="str">
        <f t="shared" si="0"/>
        <v>Por definir</v>
      </c>
      <c r="H48" s="56" t="str">
        <f t="shared" si="1"/>
        <v/>
      </c>
      <c r="I48" s="32" t="str">
        <f t="shared" si="2"/>
        <v>Pendiente</v>
      </c>
    </row>
    <row r="49" spans="2:9" ht="18" customHeight="1" x14ac:dyDescent="0.35">
      <c r="B49" s="52">
        <v>27</v>
      </c>
      <c r="C49" s="53">
        <v>2028</v>
      </c>
      <c r="D49" s="54" t="s">
        <v>229</v>
      </c>
      <c r="E49" s="70"/>
      <c r="F49" s="56" t="str">
        <f>IF(E49="","",E49)</f>
        <v/>
      </c>
      <c r="G49" s="57" t="str">
        <f t="shared" si="0"/>
        <v>Por definir</v>
      </c>
      <c r="H49" s="56" t="str">
        <f t="shared" si="1"/>
        <v/>
      </c>
      <c r="I49" s="32" t="str">
        <f t="shared" si="2"/>
        <v>Pendiente</v>
      </c>
    </row>
    <row r="50" spans="2:9" ht="18" customHeight="1" x14ac:dyDescent="0.35">
      <c r="B50" s="52">
        <v>28</v>
      </c>
      <c r="C50" s="53">
        <v>2028</v>
      </c>
      <c r="D50" s="54" t="s">
        <v>230</v>
      </c>
      <c r="E50" s="65"/>
      <c r="F50" s="66"/>
      <c r="G50" s="57" t="str">
        <f t="shared" si="0"/>
        <v>Por definir</v>
      </c>
      <c r="H50" s="56" t="str">
        <f t="shared" si="1"/>
        <v/>
      </c>
      <c r="I50" s="32" t="str">
        <f t="shared" si="2"/>
        <v>Pendiente</v>
      </c>
    </row>
    <row r="51" spans="2:9" ht="18" customHeight="1" x14ac:dyDescent="0.35">
      <c r="B51" s="52">
        <v>29</v>
      </c>
      <c r="C51" s="53">
        <v>2028</v>
      </c>
      <c r="D51" s="54" t="s">
        <v>231</v>
      </c>
      <c r="E51" s="65"/>
      <c r="F51" s="66"/>
      <c r="G51" s="57" t="str">
        <f t="shared" si="0"/>
        <v>Por definir</v>
      </c>
      <c r="H51" s="56" t="str">
        <f t="shared" si="1"/>
        <v/>
      </c>
      <c r="I51" s="32" t="str">
        <f t="shared" si="2"/>
        <v>Pendiente</v>
      </c>
    </row>
    <row r="52" spans="2:9" ht="18" customHeight="1" x14ac:dyDescent="0.35">
      <c r="B52" s="52">
        <v>30</v>
      </c>
      <c r="C52" s="53">
        <v>2028</v>
      </c>
      <c r="D52" s="54" t="s">
        <v>232</v>
      </c>
      <c r="E52" s="70"/>
      <c r="F52" s="56" t="str">
        <f>IF(E52="","",E52)</f>
        <v/>
      </c>
      <c r="G52" s="57" t="str">
        <f t="shared" si="0"/>
        <v>Por definir</v>
      </c>
      <c r="H52" s="56" t="str">
        <f t="shared" si="1"/>
        <v/>
      </c>
      <c r="I52" s="32" t="str">
        <f t="shared" si="2"/>
        <v>Pendiente</v>
      </c>
    </row>
    <row r="53" spans="2:9" ht="18" customHeight="1" x14ac:dyDescent="0.35">
      <c r="B53" s="52">
        <v>31</v>
      </c>
      <c r="C53" s="53">
        <v>2028</v>
      </c>
      <c r="D53" s="54" t="s">
        <v>233</v>
      </c>
      <c r="E53" s="65"/>
      <c r="F53" s="66"/>
      <c r="G53" s="57" t="str">
        <f t="shared" si="0"/>
        <v>Por definir</v>
      </c>
      <c r="H53" s="56" t="str">
        <f t="shared" si="1"/>
        <v/>
      </c>
      <c r="I53" s="32" t="str">
        <f t="shared" si="2"/>
        <v>Pendiente</v>
      </c>
    </row>
    <row r="54" spans="2:9" ht="18" customHeight="1" x14ac:dyDescent="0.35">
      <c r="B54" s="52">
        <v>32</v>
      </c>
      <c r="C54" s="53">
        <v>2028</v>
      </c>
      <c r="D54" s="54" t="s">
        <v>234</v>
      </c>
      <c r="E54" s="65"/>
      <c r="F54" s="66"/>
      <c r="G54" s="57" t="str">
        <f t="shared" si="0"/>
        <v>Por definir</v>
      </c>
      <c r="H54" s="56" t="str">
        <f t="shared" si="1"/>
        <v/>
      </c>
      <c r="I54" s="32" t="str">
        <f t="shared" si="2"/>
        <v>Pendiente</v>
      </c>
    </row>
    <row r="55" spans="2:9" ht="18" customHeight="1" x14ac:dyDescent="0.35">
      <c r="B55" s="52">
        <v>33</v>
      </c>
      <c r="C55" s="53">
        <v>2028</v>
      </c>
      <c r="D55" s="54" t="s">
        <v>235</v>
      </c>
      <c r="E55" s="70"/>
      <c r="F55" s="56" t="str">
        <f>IF(E55="","",E55)</f>
        <v/>
      </c>
      <c r="G55" s="57" t="str">
        <f t="shared" ref="G55:G82" si="3">IFERROR(VLOOKUP(C55,$B$14:$C$18,2,FALSE()),"")</f>
        <v>Por definir</v>
      </c>
      <c r="H55" s="56" t="str">
        <f t="shared" ref="H55:H86" si="4">IFERROR(IF(OR(F55="",NOT(ISNUMBER(G55))),"",F55/G55),"")</f>
        <v/>
      </c>
      <c r="I55" s="32" t="str">
        <f t="shared" ref="I55:I86" si="5">IFERROR(IF(H55="","Pendiente",IF(H55&gt;=0.95,"Cumple",IF(H55&gt;=0.8,"En riesgo","Crítico"))),"Pendiente")</f>
        <v>Pendiente</v>
      </c>
    </row>
    <row r="56" spans="2:9" ht="18" customHeight="1" x14ac:dyDescent="0.35">
      <c r="B56" s="52">
        <v>34</v>
      </c>
      <c r="C56" s="53">
        <v>2028</v>
      </c>
      <c r="D56" s="54" t="s">
        <v>236</v>
      </c>
      <c r="E56" s="65"/>
      <c r="F56" s="66"/>
      <c r="G56" s="57" t="str">
        <f t="shared" si="3"/>
        <v>Por definir</v>
      </c>
      <c r="H56" s="56" t="str">
        <f t="shared" si="4"/>
        <v/>
      </c>
      <c r="I56" s="32" t="str">
        <f t="shared" si="5"/>
        <v>Pendiente</v>
      </c>
    </row>
    <row r="57" spans="2:9" ht="18" customHeight="1" x14ac:dyDescent="0.35">
      <c r="B57" s="52">
        <v>35</v>
      </c>
      <c r="C57" s="53">
        <v>2028</v>
      </c>
      <c r="D57" s="54" t="s">
        <v>237</v>
      </c>
      <c r="E57" s="65"/>
      <c r="F57" s="66"/>
      <c r="G57" s="57" t="str">
        <f t="shared" si="3"/>
        <v>Por definir</v>
      </c>
      <c r="H57" s="56" t="str">
        <f t="shared" si="4"/>
        <v/>
      </c>
      <c r="I57" s="32" t="str">
        <f t="shared" si="5"/>
        <v>Pendiente</v>
      </c>
    </row>
    <row r="58" spans="2:9" ht="18" customHeight="1" x14ac:dyDescent="0.35">
      <c r="B58" s="52">
        <v>36</v>
      </c>
      <c r="C58" s="53">
        <v>2028</v>
      </c>
      <c r="D58" s="54" t="s">
        <v>238</v>
      </c>
      <c r="E58" s="70"/>
      <c r="F58" s="56" t="str">
        <f>IF(E58="","",E58)</f>
        <v/>
      </c>
      <c r="G58" s="57" t="str">
        <f t="shared" si="3"/>
        <v>Por definir</v>
      </c>
      <c r="H58" s="56" t="str">
        <f t="shared" si="4"/>
        <v/>
      </c>
      <c r="I58" s="32" t="str">
        <f t="shared" si="5"/>
        <v>Pendiente</v>
      </c>
    </row>
    <row r="59" spans="2:9" ht="18" customHeight="1" x14ac:dyDescent="0.35">
      <c r="B59" s="52">
        <v>37</v>
      </c>
      <c r="C59" s="53">
        <v>2029</v>
      </c>
      <c r="D59" s="54" t="s">
        <v>227</v>
      </c>
      <c r="E59" s="65"/>
      <c r="F59" s="66"/>
      <c r="G59" s="57" t="str">
        <f t="shared" si="3"/>
        <v>Por definir</v>
      </c>
      <c r="H59" s="56" t="str">
        <f t="shared" si="4"/>
        <v/>
      </c>
      <c r="I59" s="32" t="str">
        <f t="shared" si="5"/>
        <v>Pendiente</v>
      </c>
    </row>
    <row r="60" spans="2:9" ht="18" customHeight="1" x14ac:dyDescent="0.35">
      <c r="B60" s="52">
        <v>38</v>
      </c>
      <c r="C60" s="53">
        <v>2029</v>
      </c>
      <c r="D60" s="54" t="s">
        <v>228</v>
      </c>
      <c r="E60" s="65"/>
      <c r="F60" s="66"/>
      <c r="G60" s="57" t="str">
        <f t="shared" si="3"/>
        <v>Por definir</v>
      </c>
      <c r="H60" s="56" t="str">
        <f t="shared" si="4"/>
        <v/>
      </c>
      <c r="I60" s="32" t="str">
        <f t="shared" si="5"/>
        <v>Pendiente</v>
      </c>
    </row>
    <row r="61" spans="2:9" ht="18" customHeight="1" x14ac:dyDescent="0.35">
      <c r="B61" s="52">
        <v>39</v>
      </c>
      <c r="C61" s="53">
        <v>2029</v>
      </c>
      <c r="D61" s="54" t="s">
        <v>229</v>
      </c>
      <c r="E61" s="70"/>
      <c r="F61" s="56" t="str">
        <f>IF(E61="","",E61)</f>
        <v/>
      </c>
      <c r="G61" s="57" t="str">
        <f t="shared" si="3"/>
        <v>Por definir</v>
      </c>
      <c r="H61" s="56" t="str">
        <f t="shared" si="4"/>
        <v/>
      </c>
      <c r="I61" s="32" t="str">
        <f t="shared" si="5"/>
        <v>Pendiente</v>
      </c>
    </row>
    <row r="62" spans="2:9" ht="18" customHeight="1" x14ac:dyDescent="0.35">
      <c r="B62" s="52">
        <v>40</v>
      </c>
      <c r="C62" s="53">
        <v>2029</v>
      </c>
      <c r="D62" s="54" t="s">
        <v>230</v>
      </c>
      <c r="E62" s="65"/>
      <c r="F62" s="66"/>
      <c r="G62" s="57" t="str">
        <f t="shared" si="3"/>
        <v>Por definir</v>
      </c>
      <c r="H62" s="56" t="str">
        <f t="shared" si="4"/>
        <v/>
      </c>
      <c r="I62" s="32" t="str">
        <f t="shared" si="5"/>
        <v>Pendiente</v>
      </c>
    </row>
    <row r="63" spans="2:9" ht="18" customHeight="1" x14ac:dyDescent="0.35">
      <c r="B63" s="52">
        <v>41</v>
      </c>
      <c r="C63" s="53">
        <v>2029</v>
      </c>
      <c r="D63" s="54" t="s">
        <v>231</v>
      </c>
      <c r="E63" s="65"/>
      <c r="F63" s="66"/>
      <c r="G63" s="57" t="str">
        <f t="shared" si="3"/>
        <v>Por definir</v>
      </c>
      <c r="H63" s="56" t="str">
        <f t="shared" si="4"/>
        <v/>
      </c>
      <c r="I63" s="32" t="str">
        <f t="shared" si="5"/>
        <v>Pendiente</v>
      </c>
    </row>
    <row r="64" spans="2:9" ht="18" customHeight="1" x14ac:dyDescent="0.35">
      <c r="B64" s="52">
        <v>42</v>
      </c>
      <c r="C64" s="53">
        <v>2029</v>
      </c>
      <c r="D64" s="54" t="s">
        <v>232</v>
      </c>
      <c r="E64" s="70"/>
      <c r="F64" s="56" t="str">
        <f>IF(E64="","",E64)</f>
        <v/>
      </c>
      <c r="G64" s="57" t="str">
        <f t="shared" si="3"/>
        <v>Por definir</v>
      </c>
      <c r="H64" s="56" t="str">
        <f t="shared" si="4"/>
        <v/>
      </c>
      <c r="I64" s="32" t="str">
        <f t="shared" si="5"/>
        <v>Pendiente</v>
      </c>
    </row>
    <row r="65" spans="2:9" ht="18" customHeight="1" x14ac:dyDescent="0.35">
      <c r="B65" s="52">
        <v>43</v>
      </c>
      <c r="C65" s="53">
        <v>2029</v>
      </c>
      <c r="D65" s="54" t="s">
        <v>233</v>
      </c>
      <c r="E65" s="65"/>
      <c r="F65" s="66"/>
      <c r="G65" s="57" t="str">
        <f t="shared" si="3"/>
        <v>Por definir</v>
      </c>
      <c r="H65" s="56" t="str">
        <f t="shared" si="4"/>
        <v/>
      </c>
      <c r="I65" s="32" t="str">
        <f t="shared" si="5"/>
        <v>Pendiente</v>
      </c>
    </row>
    <row r="66" spans="2:9" ht="18" customHeight="1" x14ac:dyDescent="0.35">
      <c r="B66" s="52">
        <v>44</v>
      </c>
      <c r="C66" s="53">
        <v>2029</v>
      </c>
      <c r="D66" s="54" t="s">
        <v>234</v>
      </c>
      <c r="E66" s="65"/>
      <c r="F66" s="66"/>
      <c r="G66" s="57" t="str">
        <f t="shared" si="3"/>
        <v>Por definir</v>
      </c>
      <c r="H66" s="56" t="str">
        <f t="shared" si="4"/>
        <v/>
      </c>
      <c r="I66" s="32" t="str">
        <f t="shared" si="5"/>
        <v>Pendiente</v>
      </c>
    </row>
    <row r="67" spans="2:9" ht="18" customHeight="1" x14ac:dyDescent="0.35">
      <c r="B67" s="52">
        <v>45</v>
      </c>
      <c r="C67" s="53">
        <v>2029</v>
      </c>
      <c r="D67" s="54" t="s">
        <v>235</v>
      </c>
      <c r="E67" s="70"/>
      <c r="F67" s="56" t="str">
        <f>IF(E67="","",E67)</f>
        <v/>
      </c>
      <c r="G67" s="57" t="str">
        <f t="shared" si="3"/>
        <v>Por definir</v>
      </c>
      <c r="H67" s="56" t="str">
        <f t="shared" si="4"/>
        <v/>
      </c>
      <c r="I67" s="32" t="str">
        <f t="shared" si="5"/>
        <v>Pendiente</v>
      </c>
    </row>
    <row r="68" spans="2:9" ht="18" customHeight="1" x14ac:dyDescent="0.35">
      <c r="B68" s="52">
        <v>46</v>
      </c>
      <c r="C68" s="53">
        <v>2029</v>
      </c>
      <c r="D68" s="54" t="s">
        <v>236</v>
      </c>
      <c r="E68" s="65"/>
      <c r="F68" s="66"/>
      <c r="G68" s="57" t="str">
        <f t="shared" si="3"/>
        <v>Por definir</v>
      </c>
      <c r="H68" s="56" t="str">
        <f t="shared" si="4"/>
        <v/>
      </c>
      <c r="I68" s="32" t="str">
        <f t="shared" si="5"/>
        <v>Pendiente</v>
      </c>
    </row>
    <row r="69" spans="2:9" ht="18" customHeight="1" x14ac:dyDescent="0.35">
      <c r="B69" s="52">
        <v>47</v>
      </c>
      <c r="C69" s="53">
        <v>2029</v>
      </c>
      <c r="D69" s="54" t="s">
        <v>237</v>
      </c>
      <c r="E69" s="65"/>
      <c r="F69" s="66"/>
      <c r="G69" s="57" t="str">
        <f t="shared" si="3"/>
        <v>Por definir</v>
      </c>
      <c r="H69" s="56" t="str">
        <f t="shared" si="4"/>
        <v/>
      </c>
      <c r="I69" s="32" t="str">
        <f t="shared" si="5"/>
        <v>Pendiente</v>
      </c>
    </row>
    <row r="70" spans="2:9" ht="18" customHeight="1" x14ac:dyDescent="0.35">
      <c r="B70" s="52">
        <v>48</v>
      </c>
      <c r="C70" s="53">
        <v>2029</v>
      </c>
      <c r="D70" s="54" t="s">
        <v>238</v>
      </c>
      <c r="E70" s="70"/>
      <c r="F70" s="56" t="str">
        <f>IF(E70="","",E70)</f>
        <v/>
      </c>
      <c r="G70" s="57" t="str">
        <f t="shared" si="3"/>
        <v>Por definir</v>
      </c>
      <c r="H70" s="56" t="str">
        <f t="shared" si="4"/>
        <v/>
      </c>
      <c r="I70" s="32" t="str">
        <f t="shared" si="5"/>
        <v>Pendiente</v>
      </c>
    </row>
    <row r="71" spans="2:9" ht="18" customHeight="1" x14ac:dyDescent="0.35">
      <c r="B71" s="52">
        <v>49</v>
      </c>
      <c r="C71" s="53">
        <v>2030</v>
      </c>
      <c r="D71" s="54" t="s">
        <v>227</v>
      </c>
      <c r="E71" s="65"/>
      <c r="F71" s="66"/>
      <c r="G71" s="57" t="str">
        <f t="shared" si="3"/>
        <v>Por definir</v>
      </c>
      <c r="H71" s="56" t="str">
        <f t="shared" si="4"/>
        <v/>
      </c>
      <c r="I71" s="32" t="str">
        <f t="shared" si="5"/>
        <v>Pendiente</v>
      </c>
    </row>
    <row r="72" spans="2:9" ht="18" customHeight="1" x14ac:dyDescent="0.35">
      <c r="B72" s="52">
        <v>50</v>
      </c>
      <c r="C72" s="53">
        <v>2030</v>
      </c>
      <c r="D72" s="54" t="s">
        <v>228</v>
      </c>
      <c r="E72" s="65"/>
      <c r="F72" s="66"/>
      <c r="G72" s="57" t="str">
        <f t="shared" si="3"/>
        <v>Por definir</v>
      </c>
      <c r="H72" s="56" t="str">
        <f t="shared" si="4"/>
        <v/>
      </c>
      <c r="I72" s="32" t="str">
        <f t="shared" si="5"/>
        <v>Pendiente</v>
      </c>
    </row>
    <row r="73" spans="2:9" ht="18" customHeight="1" x14ac:dyDescent="0.35">
      <c r="B73" s="52">
        <v>51</v>
      </c>
      <c r="C73" s="53">
        <v>2030</v>
      </c>
      <c r="D73" s="54" t="s">
        <v>229</v>
      </c>
      <c r="E73" s="70"/>
      <c r="F73" s="56" t="str">
        <f>IF(E73="","",E73)</f>
        <v/>
      </c>
      <c r="G73" s="57" t="str">
        <f t="shared" si="3"/>
        <v>Por definir</v>
      </c>
      <c r="H73" s="56" t="str">
        <f t="shared" si="4"/>
        <v/>
      </c>
      <c r="I73" s="32" t="str">
        <f t="shared" si="5"/>
        <v>Pendiente</v>
      </c>
    </row>
    <row r="74" spans="2:9" ht="18" customHeight="1" x14ac:dyDescent="0.35">
      <c r="B74" s="52">
        <v>52</v>
      </c>
      <c r="C74" s="53">
        <v>2030</v>
      </c>
      <c r="D74" s="54" t="s">
        <v>230</v>
      </c>
      <c r="E74" s="65"/>
      <c r="F74" s="66"/>
      <c r="G74" s="57" t="str">
        <f t="shared" si="3"/>
        <v>Por definir</v>
      </c>
      <c r="H74" s="56" t="str">
        <f t="shared" si="4"/>
        <v/>
      </c>
      <c r="I74" s="32" t="str">
        <f t="shared" si="5"/>
        <v>Pendiente</v>
      </c>
    </row>
    <row r="75" spans="2:9" ht="18" customHeight="1" x14ac:dyDescent="0.35">
      <c r="B75" s="52">
        <v>53</v>
      </c>
      <c r="C75" s="53">
        <v>2030</v>
      </c>
      <c r="D75" s="54" t="s">
        <v>231</v>
      </c>
      <c r="E75" s="65"/>
      <c r="F75" s="66"/>
      <c r="G75" s="57" t="str">
        <f t="shared" si="3"/>
        <v>Por definir</v>
      </c>
      <c r="H75" s="56" t="str">
        <f t="shared" si="4"/>
        <v/>
      </c>
      <c r="I75" s="32" t="str">
        <f t="shared" si="5"/>
        <v>Pendiente</v>
      </c>
    </row>
    <row r="76" spans="2:9" ht="18" customHeight="1" x14ac:dyDescent="0.35">
      <c r="B76" s="52">
        <v>54</v>
      </c>
      <c r="C76" s="53">
        <v>2030</v>
      </c>
      <c r="D76" s="54" t="s">
        <v>232</v>
      </c>
      <c r="E76" s="70"/>
      <c r="F76" s="56" t="str">
        <f>IF(E76="","",E76)</f>
        <v/>
      </c>
      <c r="G76" s="57" t="str">
        <f t="shared" si="3"/>
        <v>Por definir</v>
      </c>
      <c r="H76" s="56" t="str">
        <f t="shared" si="4"/>
        <v/>
      </c>
      <c r="I76" s="32" t="str">
        <f t="shared" si="5"/>
        <v>Pendiente</v>
      </c>
    </row>
    <row r="77" spans="2:9" ht="18" customHeight="1" x14ac:dyDescent="0.35">
      <c r="B77" s="52">
        <v>55</v>
      </c>
      <c r="C77" s="53">
        <v>2030</v>
      </c>
      <c r="D77" s="54" t="s">
        <v>233</v>
      </c>
      <c r="E77" s="65"/>
      <c r="F77" s="66"/>
      <c r="G77" s="57" t="str">
        <f t="shared" si="3"/>
        <v>Por definir</v>
      </c>
      <c r="H77" s="56" t="str">
        <f t="shared" si="4"/>
        <v/>
      </c>
      <c r="I77" s="32" t="str">
        <f t="shared" si="5"/>
        <v>Pendiente</v>
      </c>
    </row>
    <row r="78" spans="2:9" ht="18" customHeight="1" x14ac:dyDescent="0.35">
      <c r="B78" s="52">
        <v>56</v>
      </c>
      <c r="C78" s="53">
        <v>2030</v>
      </c>
      <c r="D78" s="54" t="s">
        <v>234</v>
      </c>
      <c r="E78" s="65"/>
      <c r="F78" s="66"/>
      <c r="G78" s="57" t="str">
        <f t="shared" si="3"/>
        <v>Por definir</v>
      </c>
      <c r="H78" s="56" t="str">
        <f t="shared" si="4"/>
        <v/>
      </c>
      <c r="I78" s="32" t="str">
        <f t="shared" si="5"/>
        <v>Pendiente</v>
      </c>
    </row>
    <row r="79" spans="2:9" ht="18" customHeight="1" x14ac:dyDescent="0.35">
      <c r="B79" s="52">
        <v>57</v>
      </c>
      <c r="C79" s="53">
        <v>2030</v>
      </c>
      <c r="D79" s="54" t="s">
        <v>235</v>
      </c>
      <c r="E79" s="70"/>
      <c r="F79" s="56" t="str">
        <f>IF(E79="","",E79)</f>
        <v/>
      </c>
      <c r="G79" s="57" t="str">
        <f t="shared" si="3"/>
        <v>Por definir</v>
      </c>
      <c r="H79" s="56" t="str">
        <f t="shared" si="4"/>
        <v/>
      </c>
      <c r="I79" s="32" t="str">
        <f t="shared" si="5"/>
        <v>Pendiente</v>
      </c>
    </row>
    <row r="80" spans="2:9" ht="18" customHeight="1" x14ac:dyDescent="0.35">
      <c r="B80" s="52">
        <v>58</v>
      </c>
      <c r="C80" s="53">
        <v>2030</v>
      </c>
      <c r="D80" s="54" t="s">
        <v>236</v>
      </c>
      <c r="E80" s="65"/>
      <c r="F80" s="66"/>
      <c r="G80" s="57" t="str">
        <f t="shared" si="3"/>
        <v>Por definir</v>
      </c>
      <c r="H80" s="56" t="str">
        <f t="shared" si="4"/>
        <v/>
      </c>
      <c r="I80" s="32" t="str">
        <f t="shared" si="5"/>
        <v>Pendiente</v>
      </c>
    </row>
    <row r="81" spans="2:9" ht="18" customHeight="1" x14ac:dyDescent="0.35">
      <c r="B81" s="52">
        <v>59</v>
      </c>
      <c r="C81" s="53">
        <v>2030</v>
      </c>
      <c r="D81" s="54" t="s">
        <v>237</v>
      </c>
      <c r="E81" s="65"/>
      <c r="F81" s="66"/>
      <c r="G81" s="57" t="str">
        <f t="shared" si="3"/>
        <v>Por definir</v>
      </c>
      <c r="H81" s="56" t="str">
        <f t="shared" si="4"/>
        <v/>
      </c>
      <c r="I81" s="32" t="str">
        <f t="shared" si="5"/>
        <v>Pendiente</v>
      </c>
    </row>
    <row r="82" spans="2:9" ht="18" customHeight="1" x14ac:dyDescent="0.35">
      <c r="B82" s="52">
        <v>60</v>
      </c>
      <c r="C82" s="53">
        <v>2030</v>
      </c>
      <c r="D82" s="54" t="s">
        <v>238</v>
      </c>
      <c r="E82" s="70"/>
      <c r="F82" s="56" t="str">
        <f>IF(E82="","",E82)</f>
        <v/>
      </c>
      <c r="G82" s="57" t="str">
        <f t="shared" si="3"/>
        <v>Por definir</v>
      </c>
      <c r="H82" s="56" t="str">
        <f t="shared" si="4"/>
        <v/>
      </c>
      <c r="I82" s="32" t="str">
        <f t="shared" si="5"/>
        <v>Pendiente</v>
      </c>
    </row>
  </sheetData>
  <mergeCells count="29">
    <mergeCell ref="E16:I16"/>
    <mergeCell ref="B5:C5"/>
    <mergeCell ref="B20:I20"/>
    <mergeCell ref="C13:D13"/>
    <mergeCell ref="C18:D18"/>
    <mergeCell ref="E18:I18"/>
    <mergeCell ref="E17:I17"/>
    <mergeCell ref="B12:I12"/>
    <mergeCell ref="B21:I21"/>
    <mergeCell ref="C16:D16"/>
    <mergeCell ref="B2:I2"/>
    <mergeCell ref="D9:I9"/>
    <mergeCell ref="E13:I13"/>
    <mergeCell ref="B8:C8"/>
    <mergeCell ref="D8:I8"/>
    <mergeCell ref="E15:I15"/>
    <mergeCell ref="D5:I5"/>
    <mergeCell ref="B10:C10"/>
    <mergeCell ref="B9:C9"/>
    <mergeCell ref="C17:D17"/>
    <mergeCell ref="B6:C6"/>
    <mergeCell ref="D10:I10"/>
    <mergeCell ref="B7:C7"/>
    <mergeCell ref="C15:D15"/>
    <mergeCell ref="B3:I3"/>
    <mergeCell ref="C14:D14"/>
    <mergeCell ref="E14:I14"/>
    <mergeCell ref="D7:I7"/>
    <mergeCell ref="D6:I6"/>
  </mergeCells>
  <conditionalFormatting sqref="H23:H82">
    <cfRule type="expression" dxfId="48" priority="2">
      <formula>AND(ISNUMBER(H23),H23&gt;=0.95)</formula>
    </cfRule>
    <cfRule type="expression" dxfId="47" priority="3">
      <formula>AND(ISNUMBER(H23),H23&gt;=0.8,H23&lt;0.95)</formula>
    </cfRule>
    <cfRule type="expression" dxfId="46" priority="4">
      <formula>AND(ISNUMBER(H23),H23&lt;0.8)</formula>
    </cfRule>
  </conditionalFormatting>
  <conditionalFormatting sqref="I23:I82">
    <cfRule type="expression" dxfId="45" priority="5">
      <formula>I23="Cumple"</formula>
    </cfRule>
    <cfRule type="expression" dxfId="44" priority="6">
      <formula>I23="En riesgo"</formula>
    </cfRule>
    <cfRule type="expression" dxfId="43" priority="7">
      <formula>I23="Crítico"</formula>
    </cfRule>
    <cfRule type="expression" dxfId="42" priority="8">
      <formula>I23="Pendiente"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08A00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110" t="s">
        <v>295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108" t="s">
        <v>296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187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188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69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VLOOKUP("IND-20",Parámetros!$B$6:$F$30,5,FALSE())</f>
        <v>Tecnología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109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0.3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0.45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0.55000000000000004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0.65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0.7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10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297</v>
      </c>
      <c r="F22" s="21" t="s">
        <v>298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65"/>
      <c r="F23" s="65"/>
      <c r="G23" s="66"/>
      <c r="H23" s="57">
        <f t="shared" ref="H23:H54" si="0">IFERROR(VLOOKUP(C23,$B$14:$C$18,2,FALSE()),"")</f>
        <v>0.3</v>
      </c>
      <c r="I23" s="56" t="str">
        <f t="shared" ref="I23:I54" si="1">IFERROR(IF(OR(G23="",NOT(ISNUMBER(H23))),"",G23/H23),"")</f>
        <v/>
      </c>
      <c r="J23" s="32" t="str">
        <f t="shared" ref="J23:J54" si="2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65"/>
      <c r="F24" s="65"/>
      <c r="G24" s="66"/>
      <c r="H24" s="57">
        <f t="shared" si="0"/>
        <v>0.3</v>
      </c>
      <c r="I24" s="56" t="str">
        <f t="shared" si="1"/>
        <v/>
      </c>
      <c r="J24" s="32" t="str">
        <f t="shared" si="2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65"/>
      <c r="F25" s="65"/>
      <c r="G25" s="66"/>
      <c r="H25" s="57">
        <f t="shared" si="0"/>
        <v>0.3</v>
      </c>
      <c r="I25" s="56" t="str">
        <f t="shared" si="1"/>
        <v/>
      </c>
      <c r="J25" s="32" t="str">
        <f t="shared" si="2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65"/>
      <c r="F26" s="65"/>
      <c r="G26" s="66"/>
      <c r="H26" s="57">
        <f t="shared" si="0"/>
        <v>0.3</v>
      </c>
      <c r="I26" s="56" t="str">
        <f t="shared" si="1"/>
        <v/>
      </c>
      <c r="J26" s="32" t="str">
        <f t="shared" si="2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65"/>
      <c r="F27" s="65"/>
      <c r="G27" s="66"/>
      <c r="H27" s="57">
        <f t="shared" si="0"/>
        <v>0.3</v>
      </c>
      <c r="I27" s="56" t="str">
        <f t="shared" si="1"/>
        <v/>
      </c>
      <c r="J27" s="32" t="str">
        <f t="shared" si="2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68">
        <v>8</v>
      </c>
      <c r="F28" s="68">
        <v>50</v>
      </c>
      <c r="G28" s="56">
        <f>IFERROR(IF(F28=0,"",E28/F28),"")</f>
        <v>0.16</v>
      </c>
      <c r="H28" s="57">
        <f t="shared" si="0"/>
        <v>0.3</v>
      </c>
      <c r="I28" s="56">
        <f t="shared" si="1"/>
        <v>0.53333333333333333</v>
      </c>
      <c r="J28" s="32" t="str">
        <f t="shared" si="2"/>
        <v>Crítico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65"/>
      <c r="F29" s="65"/>
      <c r="G29" s="66"/>
      <c r="H29" s="57">
        <f t="shared" si="0"/>
        <v>0.3</v>
      </c>
      <c r="I29" s="56" t="str">
        <f t="shared" si="1"/>
        <v/>
      </c>
      <c r="J29" s="32" t="str">
        <f t="shared" si="2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65"/>
      <c r="F30" s="65"/>
      <c r="G30" s="66"/>
      <c r="H30" s="57">
        <f t="shared" si="0"/>
        <v>0.3</v>
      </c>
      <c r="I30" s="56" t="str">
        <f t="shared" si="1"/>
        <v/>
      </c>
      <c r="J30" s="32" t="str">
        <f t="shared" si="2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65"/>
      <c r="F31" s="65"/>
      <c r="G31" s="66"/>
      <c r="H31" s="57">
        <f t="shared" si="0"/>
        <v>0.3</v>
      </c>
      <c r="I31" s="56" t="str">
        <f t="shared" si="1"/>
        <v/>
      </c>
      <c r="J31" s="32" t="str">
        <f t="shared" si="2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65"/>
      <c r="F32" s="65"/>
      <c r="G32" s="66"/>
      <c r="H32" s="57">
        <f t="shared" si="0"/>
        <v>0.3</v>
      </c>
      <c r="I32" s="56" t="str">
        <f t="shared" si="1"/>
        <v/>
      </c>
      <c r="J32" s="32" t="str">
        <f t="shared" si="2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65"/>
      <c r="F33" s="65"/>
      <c r="G33" s="66"/>
      <c r="H33" s="57">
        <f t="shared" si="0"/>
        <v>0.3</v>
      </c>
      <c r="I33" s="56" t="str">
        <f t="shared" si="1"/>
        <v/>
      </c>
      <c r="J33" s="32" t="str">
        <f t="shared" si="2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68">
        <v>12</v>
      </c>
      <c r="F34" s="68">
        <v>50</v>
      </c>
      <c r="G34" s="56">
        <f>IFERROR(IF(F34=0,"",E34/F34),"")</f>
        <v>0.24</v>
      </c>
      <c r="H34" s="57">
        <f t="shared" si="0"/>
        <v>0.3</v>
      </c>
      <c r="I34" s="56">
        <f t="shared" si="1"/>
        <v>0.8</v>
      </c>
      <c r="J34" s="32" t="str">
        <f t="shared" si="2"/>
        <v>En riesgo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65"/>
      <c r="F35" s="65"/>
      <c r="G35" s="66"/>
      <c r="H35" s="57">
        <f t="shared" si="0"/>
        <v>0.45</v>
      </c>
      <c r="I35" s="56" t="str">
        <f t="shared" si="1"/>
        <v/>
      </c>
      <c r="J35" s="32" t="str">
        <f t="shared" si="2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65"/>
      <c r="F36" s="65"/>
      <c r="G36" s="66"/>
      <c r="H36" s="57">
        <f t="shared" si="0"/>
        <v>0.45</v>
      </c>
      <c r="I36" s="56" t="str">
        <f t="shared" si="1"/>
        <v/>
      </c>
      <c r="J36" s="32" t="str">
        <f t="shared" si="2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65"/>
      <c r="F37" s="65"/>
      <c r="G37" s="66"/>
      <c r="H37" s="57">
        <f t="shared" si="0"/>
        <v>0.45</v>
      </c>
      <c r="I37" s="56" t="str">
        <f t="shared" si="1"/>
        <v/>
      </c>
      <c r="J37" s="32" t="str">
        <f t="shared" si="2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65"/>
      <c r="F38" s="65"/>
      <c r="G38" s="66"/>
      <c r="H38" s="57">
        <f t="shared" si="0"/>
        <v>0.45</v>
      </c>
      <c r="I38" s="56" t="str">
        <f t="shared" si="1"/>
        <v/>
      </c>
      <c r="J38" s="32" t="str">
        <f t="shared" si="2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65"/>
      <c r="F39" s="65"/>
      <c r="G39" s="66"/>
      <c r="H39" s="57">
        <f t="shared" si="0"/>
        <v>0.45</v>
      </c>
      <c r="I39" s="56" t="str">
        <f t="shared" si="1"/>
        <v/>
      </c>
      <c r="J39" s="32" t="str">
        <f t="shared" si="2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68">
        <v>16</v>
      </c>
      <c r="F40" s="68">
        <v>50</v>
      </c>
      <c r="G40" s="56">
        <f>IFERROR(IF(F40=0,"",E40/F40),"")</f>
        <v>0.32</v>
      </c>
      <c r="H40" s="57">
        <f t="shared" si="0"/>
        <v>0.45</v>
      </c>
      <c r="I40" s="56">
        <f t="shared" si="1"/>
        <v>0.71111111111111114</v>
      </c>
      <c r="J40" s="32" t="str">
        <f t="shared" si="2"/>
        <v>Crítico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65"/>
      <c r="F41" s="65"/>
      <c r="G41" s="66"/>
      <c r="H41" s="57">
        <f t="shared" si="0"/>
        <v>0.45</v>
      </c>
      <c r="I41" s="56" t="str">
        <f t="shared" si="1"/>
        <v/>
      </c>
      <c r="J41" s="32" t="str">
        <f t="shared" si="2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65"/>
      <c r="F42" s="65"/>
      <c r="G42" s="66"/>
      <c r="H42" s="57">
        <f t="shared" si="0"/>
        <v>0.45</v>
      </c>
      <c r="I42" s="56" t="str">
        <f t="shared" si="1"/>
        <v/>
      </c>
      <c r="J42" s="32" t="str">
        <f t="shared" si="2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65"/>
      <c r="F43" s="65"/>
      <c r="G43" s="66"/>
      <c r="H43" s="57">
        <f t="shared" si="0"/>
        <v>0.45</v>
      </c>
      <c r="I43" s="56" t="str">
        <f t="shared" si="1"/>
        <v/>
      </c>
      <c r="J43" s="32" t="str">
        <f t="shared" si="2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65"/>
      <c r="F44" s="65"/>
      <c r="G44" s="66"/>
      <c r="H44" s="57">
        <f t="shared" si="0"/>
        <v>0.45</v>
      </c>
      <c r="I44" s="56" t="str">
        <f t="shared" si="1"/>
        <v/>
      </c>
      <c r="J44" s="32" t="str">
        <f t="shared" si="2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65"/>
      <c r="F45" s="65"/>
      <c r="G45" s="66"/>
      <c r="H45" s="57">
        <f t="shared" si="0"/>
        <v>0.45</v>
      </c>
      <c r="I45" s="56" t="str">
        <f t="shared" si="1"/>
        <v/>
      </c>
      <c r="J45" s="32" t="str">
        <f t="shared" si="2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68"/>
      <c r="F46" s="68"/>
      <c r="G46" s="56" t="str">
        <f>IFERROR(IF(F46=0,"",E46/F46),"")</f>
        <v/>
      </c>
      <c r="H46" s="57">
        <f t="shared" si="0"/>
        <v>0.45</v>
      </c>
      <c r="I46" s="56" t="str">
        <f t="shared" si="1"/>
        <v/>
      </c>
      <c r="J46" s="32" t="str">
        <f t="shared" si="2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65"/>
      <c r="F47" s="65"/>
      <c r="G47" s="66"/>
      <c r="H47" s="57">
        <f t="shared" si="0"/>
        <v>0.55000000000000004</v>
      </c>
      <c r="I47" s="56" t="str">
        <f t="shared" si="1"/>
        <v/>
      </c>
      <c r="J47" s="32" t="str">
        <f t="shared" si="2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65"/>
      <c r="F48" s="65"/>
      <c r="G48" s="66"/>
      <c r="H48" s="57">
        <f t="shared" si="0"/>
        <v>0.55000000000000004</v>
      </c>
      <c r="I48" s="56" t="str">
        <f t="shared" si="1"/>
        <v/>
      </c>
      <c r="J48" s="32" t="str">
        <f t="shared" si="2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65"/>
      <c r="F49" s="65"/>
      <c r="G49" s="66"/>
      <c r="H49" s="57">
        <f t="shared" si="0"/>
        <v>0.55000000000000004</v>
      </c>
      <c r="I49" s="56" t="str">
        <f t="shared" si="1"/>
        <v/>
      </c>
      <c r="J49" s="32" t="str">
        <f t="shared" si="2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65"/>
      <c r="F50" s="65"/>
      <c r="G50" s="66"/>
      <c r="H50" s="57">
        <f t="shared" si="0"/>
        <v>0.55000000000000004</v>
      </c>
      <c r="I50" s="56" t="str">
        <f t="shared" si="1"/>
        <v/>
      </c>
      <c r="J50" s="32" t="str">
        <f t="shared" si="2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65"/>
      <c r="F51" s="65"/>
      <c r="G51" s="66"/>
      <c r="H51" s="57">
        <f t="shared" si="0"/>
        <v>0.55000000000000004</v>
      </c>
      <c r="I51" s="56" t="str">
        <f t="shared" si="1"/>
        <v/>
      </c>
      <c r="J51" s="32" t="str">
        <f t="shared" si="2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68"/>
      <c r="F52" s="68"/>
      <c r="G52" s="56" t="str">
        <f>IFERROR(IF(F52=0,"",E52/F52),"")</f>
        <v/>
      </c>
      <c r="H52" s="57">
        <f t="shared" si="0"/>
        <v>0.55000000000000004</v>
      </c>
      <c r="I52" s="56" t="str">
        <f t="shared" si="1"/>
        <v/>
      </c>
      <c r="J52" s="32" t="str">
        <f t="shared" si="2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65"/>
      <c r="F53" s="65"/>
      <c r="G53" s="66"/>
      <c r="H53" s="57">
        <f t="shared" si="0"/>
        <v>0.55000000000000004</v>
      </c>
      <c r="I53" s="56" t="str">
        <f t="shared" si="1"/>
        <v/>
      </c>
      <c r="J53" s="32" t="str">
        <f t="shared" si="2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65"/>
      <c r="F54" s="65"/>
      <c r="G54" s="66"/>
      <c r="H54" s="57">
        <f t="shared" si="0"/>
        <v>0.55000000000000004</v>
      </c>
      <c r="I54" s="56" t="str">
        <f t="shared" si="1"/>
        <v/>
      </c>
      <c r="J54" s="32" t="str">
        <f t="shared" si="2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65"/>
      <c r="F55" s="65"/>
      <c r="G55" s="66"/>
      <c r="H55" s="57">
        <f t="shared" ref="H55:H82" si="3">IFERROR(VLOOKUP(C55,$B$14:$C$18,2,FALSE()),"")</f>
        <v>0.55000000000000004</v>
      </c>
      <c r="I55" s="56" t="str">
        <f t="shared" ref="I55:I86" si="4">IFERROR(IF(OR(G55="",NOT(ISNUMBER(H55))),"",G55/H55),"")</f>
        <v/>
      </c>
      <c r="J55" s="32" t="str">
        <f t="shared" ref="J55:J86" si="5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65"/>
      <c r="F56" s="65"/>
      <c r="G56" s="66"/>
      <c r="H56" s="57">
        <f t="shared" si="3"/>
        <v>0.55000000000000004</v>
      </c>
      <c r="I56" s="56" t="str">
        <f t="shared" si="4"/>
        <v/>
      </c>
      <c r="J56" s="32" t="str">
        <f t="shared" si="5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65"/>
      <c r="F57" s="65"/>
      <c r="G57" s="66"/>
      <c r="H57" s="57">
        <f t="shared" si="3"/>
        <v>0.55000000000000004</v>
      </c>
      <c r="I57" s="56" t="str">
        <f t="shared" si="4"/>
        <v/>
      </c>
      <c r="J57" s="32" t="str">
        <f t="shared" si="5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68"/>
      <c r="F58" s="68"/>
      <c r="G58" s="56" t="str">
        <f>IFERROR(IF(F58=0,"",E58/F58),"")</f>
        <v/>
      </c>
      <c r="H58" s="57">
        <f t="shared" si="3"/>
        <v>0.55000000000000004</v>
      </c>
      <c r="I58" s="56" t="str">
        <f t="shared" si="4"/>
        <v/>
      </c>
      <c r="J58" s="32" t="str">
        <f t="shared" si="5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65"/>
      <c r="F59" s="65"/>
      <c r="G59" s="66"/>
      <c r="H59" s="57">
        <f t="shared" si="3"/>
        <v>0.65</v>
      </c>
      <c r="I59" s="56" t="str">
        <f t="shared" si="4"/>
        <v/>
      </c>
      <c r="J59" s="32" t="str">
        <f t="shared" si="5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65"/>
      <c r="F60" s="65"/>
      <c r="G60" s="66"/>
      <c r="H60" s="57">
        <f t="shared" si="3"/>
        <v>0.65</v>
      </c>
      <c r="I60" s="56" t="str">
        <f t="shared" si="4"/>
        <v/>
      </c>
      <c r="J60" s="32" t="str">
        <f t="shared" si="5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65"/>
      <c r="F61" s="65"/>
      <c r="G61" s="66"/>
      <c r="H61" s="57">
        <f t="shared" si="3"/>
        <v>0.65</v>
      </c>
      <c r="I61" s="56" t="str">
        <f t="shared" si="4"/>
        <v/>
      </c>
      <c r="J61" s="32" t="str">
        <f t="shared" si="5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65"/>
      <c r="F62" s="65"/>
      <c r="G62" s="66"/>
      <c r="H62" s="57">
        <f t="shared" si="3"/>
        <v>0.65</v>
      </c>
      <c r="I62" s="56" t="str">
        <f t="shared" si="4"/>
        <v/>
      </c>
      <c r="J62" s="32" t="str">
        <f t="shared" si="5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65"/>
      <c r="F63" s="65"/>
      <c r="G63" s="66"/>
      <c r="H63" s="57">
        <f t="shared" si="3"/>
        <v>0.65</v>
      </c>
      <c r="I63" s="56" t="str">
        <f t="shared" si="4"/>
        <v/>
      </c>
      <c r="J63" s="32" t="str">
        <f t="shared" si="5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68"/>
      <c r="F64" s="68"/>
      <c r="G64" s="56" t="str">
        <f>IFERROR(IF(F64=0,"",E64/F64),"")</f>
        <v/>
      </c>
      <c r="H64" s="57">
        <f t="shared" si="3"/>
        <v>0.65</v>
      </c>
      <c r="I64" s="56" t="str">
        <f t="shared" si="4"/>
        <v/>
      </c>
      <c r="J64" s="32" t="str">
        <f t="shared" si="5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65"/>
      <c r="F65" s="65"/>
      <c r="G65" s="66"/>
      <c r="H65" s="57">
        <f t="shared" si="3"/>
        <v>0.65</v>
      </c>
      <c r="I65" s="56" t="str">
        <f t="shared" si="4"/>
        <v/>
      </c>
      <c r="J65" s="32" t="str">
        <f t="shared" si="5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65"/>
      <c r="F66" s="65"/>
      <c r="G66" s="66"/>
      <c r="H66" s="57">
        <f t="shared" si="3"/>
        <v>0.65</v>
      </c>
      <c r="I66" s="56" t="str">
        <f t="shared" si="4"/>
        <v/>
      </c>
      <c r="J66" s="32" t="str">
        <f t="shared" si="5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65"/>
      <c r="F67" s="65"/>
      <c r="G67" s="66"/>
      <c r="H67" s="57">
        <f t="shared" si="3"/>
        <v>0.65</v>
      </c>
      <c r="I67" s="56" t="str">
        <f t="shared" si="4"/>
        <v/>
      </c>
      <c r="J67" s="32" t="str">
        <f t="shared" si="5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65"/>
      <c r="F68" s="65"/>
      <c r="G68" s="66"/>
      <c r="H68" s="57">
        <f t="shared" si="3"/>
        <v>0.65</v>
      </c>
      <c r="I68" s="56" t="str">
        <f t="shared" si="4"/>
        <v/>
      </c>
      <c r="J68" s="32" t="str">
        <f t="shared" si="5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65"/>
      <c r="F69" s="65"/>
      <c r="G69" s="66"/>
      <c r="H69" s="57">
        <f t="shared" si="3"/>
        <v>0.65</v>
      </c>
      <c r="I69" s="56" t="str">
        <f t="shared" si="4"/>
        <v/>
      </c>
      <c r="J69" s="32" t="str">
        <f t="shared" si="5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68"/>
      <c r="F70" s="68"/>
      <c r="G70" s="56" t="str">
        <f>IFERROR(IF(F70=0,"",E70/F70),"")</f>
        <v/>
      </c>
      <c r="H70" s="57">
        <f t="shared" si="3"/>
        <v>0.65</v>
      </c>
      <c r="I70" s="56" t="str">
        <f t="shared" si="4"/>
        <v/>
      </c>
      <c r="J70" s="32" t="str">
        <f t="shared" si="5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65"/>
      <c r="F71" s="65"/>
      <c r="G71" s="66"/>
      <c r="H71" s="57">
        <f t="shared" si="3"/>
        <v>0.7</v>
      </c>
      <c r="I71" s="56" t="str">
        <f t="shared" si="4"/>
        <v/>
      </c>
      <c r="J71" s="32" t="str">
        <f t="shared" si="5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65"/>
      <c r="F72" s="65"/>
      <c r="G72" s="66"/>
      <c r="H72" s="57">
        <f t="shared" si="3"/>
        <v>0.7</v>
      </c>
      <c r="I72" s="56" t="str">
        <f t="shared" si="4"/>
        <v/>
      </c>
      <c r="J72" s="32" t="str">
        <f t="shared" si="5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65"/>
      <c r="F73" s="65"/>
      <c r="G73" s="66"/>
      <c r="H73" s="57">
        <f t="shared" si="3"/>
        <v>0.7</v>
      </c>
      <c r="I73" s="56" t="str">
        <f t="shared" si="4"/>
        <v/>
      </c>
      <c r="J73" s="32" t="str">
        <f t="shared" si="5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65"/>
      <c r="F74" s="65"/>
      <c r="G74" s="66"/>
      <c r="H74" s="57">
        <f t="shared" si="3"/>
        <v>0.7</v>
      </c>
      <c r="I74" s="56" t="str">
        <f t="shared" si="4"/>
        <v/>
      </c>
      <c r="J74" s="32" t="str">
        <f t="shared" si="5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65"/>
      <c r="F75" s="65"/>
      <c r="G75" s="66"/>
      <c r="H75" s="57">
        <f t="shared" si="3"/>
        <v>0.7</v>
      </c>
      <c r="I75" s="56" t="str">
        <f t="shared" si="4"/>
        <v/>
      </c>
      <c r="J75" s="32" t="str">
        <f t="shared" si="5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68"/>
      <c r="F76" s="68"/>
      <c r="G76" s="56" t="str">
        <f>IFERROR(IF(F76=0,"",E76/F76),"")</f>
        <v/>
      </c>
      <c r="H76" s="57">
        <f t="shared" si="3"/>
        <v>0.7</v>
      </c>
      <c r="I76" s="56" t="str">
        <f t="shared" si="4"/>
        <v/>
      </c>
      <c r="J76" s="32" t="str">
        <f t="shared" si="5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65"/>
      <c r="F77" s="65"/>
      <c r="G77" s="66"/>
      <c r="H77" s="57">
        <f t="shared" si="3"/>
        <v>0.7</v>
      </c>
      <c r="I77" s="56" t="str">
        <f t="shared" si="4"/>
        <v/>
      </c>
      <c r="J77" s="32" t="str">
        <f t="shared" si="5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65"/>
      <c r="F78" s="65"/>
      <c r="G78" s="66"/>
      <c r="H78" s="57">
        <f t="shared" si="3"/>
        <v>0.7</v>
      </c>
      <c r="I78" s="56" t="str">
        <f t="shared" si="4"/>
        <v/>
      </c>
      <c r="J78" s="32" t="str">
        <f t="shared" si="5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65"/>
      <c r="F79" s="65"/>
      <c r="G79" s="66"/>
      <c r="H79" s="57">
        <f t="shared" si="3"/>
        <v>0.7</v>
      </c>
      <c r="I79" s="56" t="str">
        <f t="shared" si="4"/>
        <v/>
      </c>
      <c r="J79" s="32" t="str">
        <f t="shared" si="5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65"/>
      <c r="F80" s="65"/>
      <c r="G80" s="66"/>
      <c r="H80" s="57">
        <f t="shared" si="3"/>
        <v>0.7</v>
      </c>
      <c r="I80" s="56" t="str">
        <f t="shared" si="4"/>
        <v/>
      </c>
      <c r="J80" s="32" t="str">
        <f t="shared" si="5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65"/>
      <c r="F81" s="65"/>
      <c r="G81" s="66"/>
      <c r="H81" s="57">
        <f t="shared" si="3"/>
        <v>0.7</v>
      </c>
      <c r="I81" s="56" t="str">
        <f t="shared" si="4"/>
        <v/>
      </c>
      <c r="J81" s="32" t="str">
        <f t="shared" si="5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68"/>
      <c r="F82" s="68"/>
      <c r="G82" s="56" t="str">
        <f>IFERROR(IF(F82=0,"",E82/F82),"")</f>
        <v/>
      </c>
      <c r="H82" s="57">
        <f t="shared" si="3"/>
        <v>0.7</v>
      </c>
      <c r="I82" s="56" t="str">
        <f t="shared" si="4"/>
        <v/>
      </c>
      <c r="J82" s="32" t="str">
        <f t="shared" si="5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41" priority="2">
      <formula>AND(ISNUMBER(I23),I23&gt;=0.95)</formula>
    </cfRule>
    <cfRule type="expression" dxfId="40" priority="3">
      <formula>AND(ISNUMBER(I23),I23&gt;=0.8,I23&lt;0.95)</formula>
    </cfRule>
    <cfRule type="expression" dxfId="39" priority="4">
      <formula>AND(ISNUMBER(I23),I23&lt;0.8)</formula>
    </cfRule>
  </conditionalFormatting>
  <conditionalFormatting sqref="J23:J82">
    <cfRule type="expression" dxfId="38" priority="5">
      <formula>J23="Cumple"</formula>
    </cfRule>
    <cfRule type="expression" dxfId="37" priority="6">
      <formula>J23="En riesgo"</formula>
    </cfRule>
    <cfRule type="expression" dxfId="36" priority="7">
      <formula>J23="Crítico"</formula>
    </cfRule>
    <cfRule type="expression" dxfId="35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08A00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110" t="s">
        <v>299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108" t="s">
        <v>300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189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190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83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VLOOKUP("IND-21",Parámetros!$B$6:$F$30,5,FALSE())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109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0.8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0.8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0.8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0.8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0.8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107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301</v>
      </c>
      <c r="F22" s="21" t="s">
        <v>302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65"/>
      <c r="F23" s="65"/>
      <c r="G23" s="66"/>
      <c r="H23" s="57">
        <f t="shared" ref="H23:H54" si="0">IFERROR(VLOOKUP(C23,$B$14:$C$18,2,FALSE()),"")</f>
        <v>0.8</v>
      </c>
      <c r="I23" s="56" t="str">
        <f t="shared" ref="I23:I54" si="1">IFERROR(IF(OR(G23="",NOT(ISNUMBER(H23))),"",G23/H23),"")</f>
        <v/>
      </c>
      <c r="J23" s="32" t="str">
        <f t="shared" ref="J23:J54" si="2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65"/>
      <c r="F24" s="65"/>
      <c r="G24" s="66"/>
      <c r="H24" s="57">
        <f t="shared" si="0"/>
        <v>0.8</v>
      </c>
      <c r="I24" s="56" t="str">
        <f t="shared" si="1"/>
        <v/>
      </c>
      <c r="J24" s="32" t="str">
        <f t="shared" si="2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68"/>
      <c r="F25" s="68"/>
      <c r="G25" s="56" t="str">
        <f>IFERROR(IF(F25=0,"",E25/F25),"")</f>
        <v/>
      </c>
      <c r="H25" s="57">
        <f t="shared" si="0"/>
        <v>0.8</v>
      </c>
      <c r="I25" s="56" t="str">
        <f t="shared" si="1"/>
        <v/>
      </c>
      <c r="J25" s="32" t="str">
        <f t="shared" si="2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65"/>
      <c r="F26" s="65"/>
      <c r="G26" s="66"/>
      <c r="H26" s="57">
        <f t="shared" si="0"/>
        <v>0.8</v>
      </c>
      <c r="I26" s="56" t="str">
        <f t="shared" si="1"/>
        <v/>
      </c>
      <c r="J26" s="32" t="str">
        <f t="shared" si="2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65"/>
      <c r="F27" s="65"/>
      <c r="G27" s="66"/>
      <c r="H27" s="57">
        <f t="shared" si="0"/>
        <v>0.8</v>
      </c>
      <c r="I27" s="56" t="str">
        <f t="shared" si="1"/>
        <v/>
      </c>
      <c r="J27" s="32" t="str">
        <f t="shared" si="2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68"/>
      <c r="F28" s="68"/>
      <c r="G28" s="56" t="str">
        <f>IFERROR(IF(F28=0,"",E28/F28),"")</f>
        <v/>
      </c>
      <c r="H28" s="57">
        <f t="shared" si="0"/>
        <v>0.8</v>
      </c>
      <c r="I28" s="56" t="str">
        <f t="shared" si="1"/>
        <v/>
      </c>
      <c r="J28" s="32" t="str">
        <f t="shared" si="2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65"/>
      <c r="F29" s="65"/>
      <c r="G29" s="66"/>
      <c r="H29" s="57">
        <f t="shared" si="0"/>
        <v>0.8</v>
      </c>
      <c r="I29" s="56" t="str">
        <f t="shared" si="1"/>
        <v/>
      </c>
      <c r="J29" s="32" t="str">
        <f t="shared" si="2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65"/>
      <c r="F30" s="65"/>
      <c r="G30" s="66"/>
      <c r="H30" s="57">
        <f t="shared" si="0"/>
        <v>0.8</v>
      </c>
      <c r="I30" s="56" t="str">
        <f t="shared" si="1"/>
        <v/>
      </c>
      <c r="J30" s="32" t="str">
        <f t="shared" si="2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68"/>
      <c r="F31" s="68"/>
      <c r="G31" s="56" t="str">
        <f>IFERROR(IF(F31=0,"",E31/F31),"")</f>
        <v/>
      </c>
      <c r="H31" s="57">
        <f t="shared" si="0"/>
        <v>0.8</v>
      </c>
      <c r="I31" s="56" t="str">
        <f t="shared" si="1"/>
        <v/>
      </c>
      <c r="J31" s="32" t="str">
        <f t="shared" si="2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65"/>
      <c r="F32" s="65"/>
      <c r="G32" s="66"/>
      <c r="H32" s="57">
        <f t="shared" si="0"/>
        <v>0.8</v>
      </c>
      <c r="I32" s="56" t="str">
        <f t="shared" si="1"/>
        <v/>
      </c>
      <c r="J32" s="32" t="str">
        <f t="shared" si="2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65"/>
      <c r="F33" s="65"/>
      <c r="G33" s="66"/>
      <c r="H33" s="57">
        <f t="shared" si="0"/>
        <v>0.8</v>
      </c>
      <c r="I33" s="56" t="str">
        <f t="shared" si="1"/>
        <v/>
      </c>
      <c r="J33" s="32" t="str">
        <f t="shared" si="2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68"/>
      <c r="F34" s="68"/>
      <c r="G34" s="56" t="str">
        <f>IFERROR(IF(F34=0,"",E34/F34),"")</f>
        <v/>
      </c>
      <c r="H34" s="57">
        <f t="shared" si="0"/>
        <v>0.8</v>
      </c>
      <c r="I34" s="56" t="str">
        <f t="shared" si="1"/>
        <v/>
      </c>
      <c r="J34" s="32" t="str">
        <f t="shared" si="2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65"/>
      <c r="F35" s="65"/>
      <c r="G35" s="66"/>
      <c r="H35" s="57">
        <f t="shared" si="0"/>
        <v>0.8</v>
      </c>
      <c r="I35" s="56" t="str">
        <f t="shared" si="1"/>
        <v/>
      </c>
      <c r="J35" s="32" t="str">
        <f t="shared" si="2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65"/>
      <c r="F36" s="65"/>
      <c r="G36" s="66"/>
      <c r="H36" s="57">
        <f t="shared" si="0"/>
        <v>0.8</v>
      </c>
      <c r="I36" s="56" t="str">
        <f t="shared" si="1"/>
        <v/>
      </c>
      <c r="J36" s="32" t="str">
        <f t="shared" si="2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68"/>
      <c r="F37" s="68"/>
      <c r="G37" s="56" t="str">
        <f>IFERROR(IF(F37=0,"",E37/F37),"")</f>
        <v/>
      </c>
      <c r="H37" s="57">
        <f t="shared" si="0"/>
        <v>0.8</v>
      </c>
      <c r="I37" s="56" t="str">
        <f t="shared" si="1"/>
        <v/>
      </c>
      <c r="J37" s="32" t="str">
        <f t="shared" si="2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65"/>
      <c r="F38" s="65"/>
      <c r="G38" s="66"/>
      <c r="H38" s="57">
        <f t="shared" si="0"/>
        <v>0.8</v>
      </c>
      <c r="I38" s="56" t="str">
        <f t="shared" si="1"/>
        <v/>
      </c>
      <c r="J38" s="32" t="str">
        <f t="shared" si="2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65"/>
      <c r="F39" s="65"/>
      <c r="G39" s="66"/>
      <c r="H39" s="57">
        <f t="shared" si="0"/>
        <v>0.8</v>
      </c>
      <c r="I39" s="56" t="str">
        <f t="shared" si="1"/>
        <v/>
      </c>
      <c r="J39" s="32" t="str">
        <f t="shared" si="2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68"/>
      <c r="F40" s="68"/>
      <c r="G40" s="56" t="str">
        <f>IFERROR(IF(F40=0,"",E40/F40),"")</f>
        <v/>
      </c>
      <c r="H40" s="57">
        <f t="shared" si="0"/>
        <v>0.8</v>
      </c>
      <c r="I40" s="56" t="str">
        <f t="shared" si="1"/>
        <v/>
      </c>
      <c r="J40" s="32" t="str">
        <f t="shared" si="2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65"/>
      <c r="F41" s="65"/>
      <c r="G41" s="66"/>
      <c r="H41" s="57">
        <f t="shared" si="0"/>
        <v>0.8</v>
      </c>
      <c r="I41" s="56" t="str">
        <f t="shared" si="1"/>
        <v/>
      </c>
      <c r="J41" s="32" t="str">
        <f t="shared" si="2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65"/>
      <c r="F42" s="65"/>
      <c r="G42" s="66"/>
      <c r="H42" s="57">
        <f t="shared" si="0"/>
        <v>0.8</v>
      </c>
      <c r="I42" s="56" t="str">
        <f t="shared" si="1"/>
        <v/>
      </c>
      <c r="J42" s="32" t="str">
        <f t="shared" si="2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68"/>
      <c r="F43" s="68"/>
      <c r="G43" s="56" t="str">
        <f>IFERROR(IF(F43=0,"",E43/F43),"")</f>
        <v/>
      </c>
      <c r="H43" s="57">
        <f t="shared" si="0"/>
        <v>0.8</v>
      </c>
      <c r="I43" s="56" t="str">
        <f t="shared" si="1"/>
        <v/>
      </c>
      <c r="J43" s="32" t="str">
        <f t="shared" si="2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65"/>
      <c r="F44" s="65"/>
      <c r="G44" s="66"/>
      <c r="H44" s="57">
        <f t="shared" si="0"/>
        <v>0.8</v>
      </c>
      <c r="I44" s="56" t="str">
        <f t="shared" si="1"/>
        <v/>
      </c>
      <c r="J44" s="32" t="str">
        <f t="shared" si="2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65"/>
      <c r="F45" s="65"/>
      <c r="G45" s="66"/>
      <c r="H45" s="57">
        <f t="shared" si="0"/>
        <v>0.8</v>
      </c>
      <c r="I45" s="56" t="str">
        <f t="shared" si="1"/>
        <v/>
      </c>
      <c r="J45" s="32" t="str">
        <f t="shared" si="2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68"/>
      <c r="F46" s="68"/>
      <c r="G46" s="56" t="str">
        <f>IFERROR(IF(F46=0,"",E46/F46),"")</f>
        <v/>
      </c>
      <c r="H46" s="57">
        <f t="shared" si="0"/>
        <v>0.8</v>
      </c>
      <c r="I46" s="56" t="str">
        <f t="shared" si="1"/>
        <v/>
      </c>
      <c r="J46" s="32" t="str">
        <f t="shared" si="2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65"/>
      <c r="F47" s="65"/>
      <c r="G47" s="66"/>
      <c r="H47" s="57">
        <f t="shared" si="0"/>
        <v>0.8</v>
      </c>
      <c r="I47" s="56" t="str">
        <f t="shared" si="1"/>
        <v/>
      </c>
      <c r="J47" s="32" t="str">
        <f t="shared" si="2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65"/>
      <c r="F48" s="65"/>
      <c r="G48" s="66"/>
      <c r="H48" s="57">
        <f t="shared" si="0"/>
        <v>0.8</v>
      </c>
      <c r="I48" s="56" t="str">
        <f t="shared" si="1"/>
        <v/>
      </c>
      <c r="J48" s="32" t="str">
        <f t="shared" si="2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68"/>
      <c r="F49" s="68"/>
      <c r="G49" s="56" t="str">
        <f>IFERROR(IF(F49=0,"",E49/F49),"")</f>
        <v/>
      </c>
      <c r="H49" s="57">
        <f t="shared" si="0"/>
        <v>0.8</v>
      </c>
      <c r="I49" s="56" t="str">
        <f t="shared" si="1"/>
        <v/>
      </c>
      <c r="J49" s="32" t="str">
        <f t="shared" si="2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65"/>
      <c r="F50" s="65"/>
      <c r="G50" s="66"/>
      <c r="H50" s="57">
        <f t="shared" si="0"/>
        <v>0.8</v>
      </c>
      <c r="I50" s="56" t="str">
        <f t="shared" si="1"/>
        <v/>
      </c>
      <c r="J50" s="32" t="str">
        <f t="shared" si="2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65"/>
      <c r="F51" s="65"/>
      <c r="G51" s="66"/>
      <c r="H51" s="57">
        <f t="shared" si="0"/>
        <v>0.8</v>
      </c>
      <c r="I51" s="56" t="str">
        <f t="shared" si="1"/>
        <v/>
      </c>
      <c r="J51" s="32" t="str">
        <f t="shared" si="2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68"/>
      <c r="F52" s="68"/>
      <c r="G52" s="56" t="str">
        <f>IFERROR(IF(F52=0,"",E52/F52),"")</f>
        <v/>
      </c>
      <c r="H52" s="57">
        <f t="shared" si="0"/>
        <v>0.8</v>
      </c>
      <c r="I52" s="56" t="str">
        <f t="shared" si="1"/>
        <v/>
      </c>
      <c r="J52" s="32" t="str">
        <f t="shared" si="2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65"/>
      <c r="F53" s="65"/>
      <c r="G53" s="66"/>
      <c r="H53" s="57">
        <f t="shared" si="0"/>
        <v>0.8</v>
      </c>
      <c r="I53" s="56" t="str">
        <f t="shared" si="1"/>
        <v/>
      </c>
      <c r="J53" s="32" t="str">
        <f t="shared" si="2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65"/>
      <c r="F54" s="65"/>
      <c r="G54" s="66"/>
      <c r="H54" s="57">
        <f t="shared" si="0"/>
        <v>0.8</v>
      </c>
      <c r="I54" s="56" t="str">
        <f t="shared" si="1"/>
        <v/>
      </c>
      <c r="J54" s="32" t="str">
        <f t="shared" si="2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68"/>
      <c r="F55" s="68"/>
      <c r="G55" s="56" t="str">
        <f>IFERROR(IF(F55=0,"",E55/F55),"")</f>
        <v/>
      </c>
      <c r="H55" s="57">
        <f t="shared" ref="H55:H82" si="3">IFERROR(VLOOKUP(C55,$B$14:$C$18,2,FALSE()),"")</f>
        <v>0.8</v>
      </c>
      <c r="I55" s="56" t="str">
        <f t="shared" ref="I55:I86" si="4">IFERROR(IF(OR(G55="",NOT(ISNUMBER(H55))),"",G55/H55),"")</f>
        <v/>
      </c>
      <c r="J55" s="32" t="str">
        <f t="shared" ref="J55:J86" si="5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65"/>
      <c r="F56" s="65"/>
      <c r="G56" s="66"/>
      <c r="H56" s="57">
        <f t="shared" si="3"/>
        <v>0.8</v>
      </c>
      <c r="I56" s="56" t="str">
        <f t="shared" si="4"/>
        <v/>
      </c>
      <c r="J56" s="32" t="str">
        <f t="shared" si="5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65"/>
      <c r="F57" s="65"/>
      <c r="G57" s="66"/>
      <c r="H57" s="57">
        <f t="shared" si="3"/>
        <v>0.8</v>
      </c>
      <c r="I57" s="56" t="str">
        <f t="shared" si="4"/>
        <v/>
      </c>
      <c r="J57" s="32" t="str">
        <f t="shared" si="5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68"/>
      <c r="F58" s="68"/>
      <c r="G58" s="56" t="str">
        <f>IFERROR(IF(F58=0,"",E58/F58),"")</f>
        <v/>
      </c>
      <c r="H58" s="57">
        <f t="shared" si="3"/>
        <v>0.8</v>
      </c>
      <c r="I58" s="56" t="str">
        <f t="shared" si="4"/>
        <v/>
      </c>
      <c r="J58" s="32" t="str">
        <f t="shared" si="5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65"/>
      <c r="F59" s="65"/>
      <c r="G59" s="66"/>
      <c r="H59" s="57">
        <f t="shared" si="3"/>
        <v>0.8</v>
      </c>
      <c r="I59" s="56" t="str">
        <f t="shared" si="4"/>
        <v/>
      </c>
      <c r="J59" s="32" t="str">
        <f t="shared" si="5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65"/>
      <c r="F60" s="65"/>
      <c r="G60" s="66"/>
      <c r="H60" s="57">
        <f t="shared" si="3"/>
        <v>0.8</v>
      </c>
      <c r="I60" s="56" t="str">
        <f t="shared" si="4"/>
        <v/>
      </c>
      <c r="J60" s="32" t="str">
        <f t="shared" si="5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68"/>
      <c r="F61" s="68"/>
      <c r="G61" s="56" t="str">
        <f>IFERROR(IF(F61=0,"",E61/F61),"")</f>
        <v/>
      </c>
      <c r="H61" s="57">
        <f t="shared" si="3"/>
        <v>0.8</v>
      </c>
      <c r="I61" s="56" t="str">
        <f t="shared" si="4"/>
        <v/>
      </c>
      <c r="J61" s="32" t="str">
        <f t="shared" si="5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65"/>
      <c r="F62" s="65"/>
      <c r="G62" s="66"/>
      <c r="H62" s="57">
        <f t="shared" si="3"/>
        <v>0.8</v>
      </c>
      <c r="I62" s="56" t="str">
        <f t="shared" si="4"/>
        <v/>
      </c>
      <c r="J62" s="32" t="str">
        <f t="shared" si="5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65"/>
      <c r="F63" s="65"/>
      <c r="G63" s="66"/>
      <c r="H63" s="57">
        <f t="shared" si="3"/>
        <v>0.8</v>
      </c>
      <c r="I63" s="56" t="str">
        <f t="shared" si="4"/>
        <v/>
      </c>
      <c r="J63" s="32" t="str">
        <f t="shared" si="5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68"/>
      <c r="F64" s="68"/>
      <c r="G64" s="56" t="str">
        <f>IFERROR(IF(F64=0,"",E64/F64),"")</f>
        <v/>
      </c>
      <c r="H64" s="57">
        <f t="shared" si="3"/>
        <v>0.8</v>
      </c>
      <c r="I64" s="56" t="str">
        <f t="shared" si="4"/>
        <v/>
      </c>
      <c r="J64" s="32" t="str">
        <f t="shared" si="5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65"/>
      <c r="F65" s="65"/>
      <c r="G65" s="66"/>
      <c r="H65" s="57">
        <f t="shared" si="3"/>
        <v>0.8</v>
      </c>
      <c r="I65" s="56" t="str">
        <f t="shared" si="4"/>
        <v/>
      </c>
      <c r="J65" s="32" t="str">
        <f t="shared" si="5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65"/>
      <c r="F66" s="65"/>
      <c r="G66" s="66"/>
      <c r="H66" s="57">
        <f t="shared" si="3"/>
        <v>0.8</v>
      </c>
      <c r="I66" s="56" t="str">
        <f t="shared" si="4"/>
        <v/>
      </c>
      <c r="J66" s="32" t="str">
        <f t="shared" si="5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68"/>
      <c r="F67" s="68"/>
      <c r="G67" s="56" t="str">
        <f>IFERROR(IF(F67=0,"",E67/F67),"")</f>
        <v/>
      </c>
      <c r="H67" s="57">
        <f t="shared" si="3"/>
        <v>0.8</v>
      </c>
      <c r="I67" s="56" t="str">
        <f t="shared" si="4"/>
        <v/>
      </c>
      <c r="J67" s="32" t="str">
        <f t="shared" si="5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65"/>
      <c r="F68" s="65"/>
      <c r="G68" s="66"/>
      <c r="H68" s="57">
        <f t="shared" si="3"/>
        <v>0.8</v>
      </c>
      <c r="I68" s="56" t="str">
        <f t="shared" si="4"/>
        <v/>
      </c>
      <c r="J68" s="32" t="str">
        <f t="shared" si="5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65"/>
      <c r="F69" s="65"/>
      <c r="G69" s="66"/>
      <c r="H69" s="57">
        <f t="shared" si="3"/>
        <v>0.8</v>
      </c>
      <c r="I69" s="56" t="str">
        <f t="shared" si="4"/>
        <v/>
      </c>
      <c r="J69" s="32" t="str">
        <f t="shared" si="5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68"/>
      <c r="F70" s="68"/>
      <c r="G70" s="56" t="str">
        <f>IFERROR(IF(F70=0,"",E70/F70),"")</f>
        <v/>
      </c>
      <c r="H70" s="57">
        <f t="shared" si="3"/>
        <v>0.8</v>
      </c>
      <c r="I70" s="56" t="str">
        <f t="shared" si="4"/>
        <v/>
      </c>
      <c r="J70" s="32" t="str">
        <f t="shared" si="5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65"/>
      <c r="F71" s="65"/>
      <c r="G71" s="66"/>
      <c r="H71" s="57">
        <f t="shared" si="3"/>
        <v>0.8</v>
      </c>
      <c r="I71" s="56" t="str">
        <f t="shared" si="4"/>
        <v/>
      </c>
      <c r="J71" s="32" t="str">
        <f t="shared" si="5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65"/>
      <c r="F72" s="65"/>
      <c r="G72" s="66"/>
      <c r="H72" s="57">
        <f t="shared" si="3"/>
        <v>0.8</v>
      </c>
      <c r="I72" s="56" t="str">
        <f t="shared" si="4"/>
        <v/>
      </c>
      <c r="J72" s="32" t="str">
        <f t="shared" si="5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68"/>
      <c r="F73" s="68"/>
      <c r="G73" s="56" t="str">
        <f>IFERROR(IF(F73=0,"",E73/F73),"")</f>
        <v/>
      </c>
      <c r="H73" s="57">
        <f t="shared" si="3"/>
        <v>0.8</v>
      </c>
      <c r="I73" s="56" t="str">
        <f t="shared" si="4"/>
        <v/>
      </c>
      <c r="J73" s="32" t="str">
        <f t="shared" si="5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65"/>
      <c r="F74" s="65"/>
      <c r="G74" s="66"/>
      <c r="H74" s="57">
        <f t="shared" si="3"/>
        <v>0.8</v>
      </c>
      <c r="I74" s="56" t="str">
        <f t="shared" si="4"/>
        <v/>
      </c>
      <c r="J74" s="32" t="str">
        <f t="shared" si="5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65"/>
      <c r="F75" s="65"/>
      <c r="G75" s="66"/>
      <c r="H75" s="57">
        <f t="shared" si="3"/>
        <v>0.8</v>
      </c>
      <c r="I75" s="56" t="str">
        <f t="shared" si="4"/>
        <v/>
      </c>
      <c r="J75" s="32" t="str">
        <f t="shared" si="5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68"/>
      <c r="F76" s="68"/>
      <c r="G76" s="56" t="str">
        <f>IFERROR(IF(F76=0,"",E76/F76),"")</f>
        <v/>
      </c>
      <c r="H76" s="57">
        <f t="shared" si="3"/>
        <v>0.8</v>
      </c>
      <c r="I76" s="56" t="str">
        <f t="shared" si="4"/>
        <v/>
      </c>
      <c r="J76" s="32" t="str">
        <f t="shared" si="5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65"/>
      <c r="F77" s="65"/>
      <c r="G77" s="66"/>
      <c r="H77" s="57">
        <f t="shared" si="3"/>
        <v>0.8</v>
      </c>
      <c r="I77" s="56" t="str">
        <f t="shared" si="4"/>
        <v/>
      </c>
      <c r="J77" s="32" t="str">
        <f t="shared" si="5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65"/>
      <c r="F78" s="65"/>
      <c r="G78" s="66"/>
      <c r="H78" s="57">
        <f t="shared" si="3"/>
        <v>0.8</v>
      </c>
      <c r="I78" s="56" t="str">
        <f t="shared" si="4"/>
        <v/>
      </c>
      <c r="J78" s="32" t="str">
        <f t="shared" si="5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68"/>
      <c r="F79" s="68"/>
      <c r="G79" s="56" t="str">
        <f>IFERROR(IF(F79=0,"",E79/F79),"")</f>
        <v/>
      </c>
      <c r="H79" s="57">
        <f t="shared" si="3"/>
        <v>0.8</v>
      </c>
      <c r="I79" s="56" t="str">
        <f t="shared" si="4"/>
        <v/>
      </c>
      <c r="J79" s="32" t="str">
        <f t="shared" si="5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65"/>
      <c r="F80" s="65"/>
      <c r="G80" s="66"/>
      <c r="H80" s="57">
        <f t="shared" si="3"/>
        <v>0.8</v>
      </c>
      <c r="I80" s="56" t="str">
        <f t="shared" si="4"/>
        <v/>
      </c>
      <c r="J80" s="32" t="str">
        <f t="shared" si="5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65"/>
      <c r="F81" s="65"/>
      <c r="G81" s="66"/>
      <c r="H81" s="57">
        <f t="shared" si="3"/>
        <v>0.8</v>
      </c>
      <c r="I81" s="56" t="str">
        <f t="shared" si="4"/>
        <v/>
      </c>
      <c r="J81" s="32" t="str">
        <f t="shared" si="5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68"/>
      <c r="F82" s="68"/>
      <c r="G82" s="56" t="str">
        <f>IFERROR(IF(F82=0,"",E82/F82),"")</f>
        <v/>
      </c>
      <c r="H82" s="57">
        <f t="shared" si="3"/>
        <v>0.8</v>
      </c>
      <c r="I82" s="56" t="str">
        <f t="shared" si="4"/>
        <v/>
      </c>
      <c r="J82" s="32" t="str">
        <f t="shared" si="5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34" priority="2">
      <formula>AND(ISNUMBER(I23),I23&gt;=0.95)</formula>
    </cfRule>
    <cfRule type="expression" dxfId="33" priority="3">
      <formula>AND(ISNUMBER(I23),I23&gt;=0.8,I23&lt;0.95)</formula>
    </cfRule>
    <cfRule type="expression" dxfId="32" priority="4">
      <formula>AND(ISNUMBER(I23),I23&lt;0.8)</formula>
    </cfRule>
  </conditionalFormatting>
  <conditionalFormatting sqref="J23:J82">
    <cfRule type="expression" dxfId="31" priority="5">
      <formula>J23="Cumple"</formula>
    </cfRule>
    <cfRule type="expression" dxfId="30" priority="6">
      <formula>J23="En riesgo"</formula>
    </cfRule>
    <cfRule type="expression" dxfId="29" priority="7">
      <formula>J23="Crítico"</formula>
    </cfRule>
    <cfRule type="expression" dxfId="28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8E44AD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114" t="s">
        <v>303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112" t="s">
        <v>304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192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193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83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VLOOKUP("IND-22",Parámetros!$B$6:$F$30,5,FALSE())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113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0.4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0.4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0.4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0.4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0.4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111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305</v>
      </c>
      <c r="F22" s="21" t="s">
        <v>306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65"/>
      <c r="F23" s="65"/>
      <c r="G23" s="66"/>
      <c r="H23" s="57">
        <f t="shared" ref="H23:H54" si="0">IFERROR(VLOOKUP(C23,$B$14:$C$18,2,FALSE()),"")</f>
        <v>0.4</v>
      </c>
      <c r="I23" s="56" t="str">
        <f t="shared" ref="I23:I54" si="1">IFERROR(IF(OR(G23="",NOT(ISNUMBER(H23))),"",G23/H23),"")</f>
        <v/>
      </c>
      <c r="J23" s="32" t="str">
        <f t="shared" ref="J23:J54" si="2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65"/>
      <c r="F24" s="65"/>
      <c r="G24" s="66"/>
      <c r="H24" s="57">
        <f t="shared" si="0"/>
        <v>0.4</v>
      </c>
      <c r="I24" s="56" t="str">
        <f t="shared" si="1"/>
        <v/>
      </c>
      <c r="J24" s="32" t="str">
        <f t="shared" si="2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68"/>
      <c r="F25" s="68"/>
      <c r="G25" s="56" t="str">
        <f>IFERROR(IF(F25=0,"",E25/F25),"")</f>
        <v/>
      </c>
      <c r="H25" s="57">
        <f t="shared" si="0"/>
        <v>0.4</v>
      </c>
      <c r="I25" s="56" t="str">
        <f t="shared" si="1"/>
        <v/>
      </c>
      <c r="J25" s="32" t="str">
        <f t="shared" si="2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65"/>
      <c r="F26" s="65"/>
      <c r="G26" s="66"/>
      <c r="H26" s="57">
        <f t="shared" si="0"/>
        <v>0.4</v>
      </c>
      <c r="I26" s="56" t="str">
        <f t="shared" si="1"/>
        <v/>
      </c>
      <c r="J26" s="32" t="str">
        <f t="shared" si="2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65"/>
      <c r="F27" s="65"/>
      <c r="G27" s="66"/>
      <c r="H27" s="57">
        <f t="shared" si="0"/>
        <v>0.4</v>
      </c>
      <c r="I27" s="56" t="str">
        <f t="shared" si="1"/>
        <v/>
      </c>
      <c r="J27" s="32" t="str">
        <f t="shared" si="2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68"/>
      <c r="F28" s="68"/>
      <c r="G28" s="56" t="str">
        <f>IFERROR(IF(F28=0,"",E28/F28),"")</f>
        <v/>
      </c>
      <c r="H28" s="57">
        <f t="shared" si="0"/>
        <v>0.4</v>
      </c>
      <c r="I28" s="56" t="str">
        <f t="shared" si="1"/>
        <v/>
      </c>
      <c r="J28" s="32" t="str">
        <f t="shared" si="2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65"/>
      <c r="F29" s="65"/>
      <c r="G29" s="66"/>
      <c r="H29" s="57">
        <f t="shared" si="0"/>
        <v>0.4</v>
      </c>
      <c r="I29" s="56" t="str">
        <f t="shared" si="1"/>
        <v/>
      </c>
      <c r="J29" s="32" t="str">
        <f t="shared" si="2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65"/>
      <c r="F30" s="65"/>
      <c r="G30" s="66"/>
      <c r="H30" s="57">
        <f t="shared" si="0"/>
        <v>0.4</v>
      </c>
      <c r="I30" s="56" t="str">
        <f t="shared" si="1"/>
        <v/>
      </c>
      <c r="J30" s="32" t="str">
        <f t="shared" si="2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68"/>
      <c r="F31" s="68"/>
      <c r="G31" s="56" t="str">
        <f>IFERROR(IF(F31=0,"",E31/F31),"")</f>
        <v/>
      </c>
      <c r="H31" s="57">
        <f t="shared" si="0"/>
        <v>0.4</v>
      </c>
      <c r="I31" s="56" t="str">
        <f t="shared" si="1"/>
        <v/>
      </c>
      <c r="J31" s="32" t="str">
        <f t="shared" si="2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65"/>
      <c r="F32" s="65"/>
      <c r="G32" s="66"/>
      <c r="H32" s="57">
        <f t="shared" si="0"/>
        <v>0.4</v>
      </c>
      <c r="I32" s="56" t="str">
        <f t="shared" si="1"/>
        <v/>
      </c>
      <c r="J32" s="32" t="str">
        <f t="shared" si="2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65"/>
      <c r="F33" s="65"/>
      <c r="G33" s="66"/>
      <c r="H33" s="57">
        <f t="shared" si="0"/>
        <v>0.4</v>
      </c>
      <c r="I33" s="56" t="str">
        <f t="shared" si="1"/>
        <v/>
      </c>
      <c r="J33" s="32" t="str">
        <f t="shared" si="2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68"/>
      <c r="F34" s="68"/>
      <c r="G34" s="56" t="str">
        <f>IFERROR(IF(F34=0,"",E34/F34),"")</f>
        <v/>
      </c>
      <c r="H34" s="57">
        <f t="shared" si="0"/>
        <v>0.4</v>
      </c>
      <c r="I34" s="56" t="str">
        <f t="shared" si="1"/>
        <v/>
      </c>
      <c r="J34" s="32" t="str">
        <f t="shared" si="2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65"/>
      <c r="F35" s="65"/>
      <c r="G35" s="66"/>
      <c r="H35" s="57">
        <f t="shared" si="0"/>
        <v>0.4</v>
      </c>
      <c r="I35" s="56" t="str">
        <f t="shared" si="1"/>
        <v/>
      </c>
      <c r="J35" s="32" t="str">
        <f t="shared" si="2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65"/>
      <c r="F36" s="65"/>
      <c r="G36" s="66"/>
      <c r="H36" s="57">
        <f t="shared" si="0"/>
        <v>0.4</v>
      </c>
      <c r="I36" s="56" t="str">
        <f t="shared" si="1"/>
        <v/>
      </c>
      <c r="J36" s="32" t="str">
        <f t="shared" si="2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68"/>
      <c r="F37" s="68"/>
      <c r="G37" s="56" t="str">
        <f>IFERROR(IF(F37=0,"",E37/F37),"")</f>
        <v/>
      </c>
      <c r="H37" s="57">
        <f t="shared" si="0"/>
        <v>0.4</v>
      </c>
      <c r="I37" s="56" t="str">
        <f t="shared" si="1"/>
        <v/>
      </c>
      <c r="J37" s="32" t="str">
        <f t="shared" si="2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65"/>
      <c r="F38" s="65"/>
      <c r="G38" s="66"/>
      <c r="H38" s="57">
        <f t="shared" si="0"/>
        <v>0.4</v>
      </c>
      <c r="I38" s="56" t="str">
        <f t="shared" si="1"/>
        <v/>
      </c>
      <c r="J38" s="32" t="str">
        <f t="shared" si="2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65"/>
      <c r="F39" s="65"/>
      <c r="G39" s="66"/>
      <c r="H39" s="57">
        <f t="shared" si="0"/>
        <v>0.4</v>
      </c>
      <c r="I39" s="56" t="str">
        <f t="shared" si="1"/>
        <v/>
      </c>
      <c r="J39" s="32" t="str">
        <f t="shared" si="2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68"/>
      <c r="F40" s="68"/>
      <c r="G40" s="56" t="str">
        <f>IFERROR(IF(F40=0,"",E40/F40),"")</f>
        <v/>
      </c>
      <c r="H40" s="57">
        <f t="shared" si="0"/>
        <v>0.4</v>
      </c>
      <c r="I40" s="56" t="str">
        <f t="shared" si="1"/>
        <v/>
      </c>
      <c r="J40" s="32" t="str">
        <f t="shared" si="2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65"/>
      <c r="F41" s="65"/>
      <c r="G41" s="66"/>
      <c r="H41" s="57">
        <f t="shared" si="0"/>
        <v>0.4</v>
      </c>
      <c r="I41" s="56" t="str">
        <f t="shared" si="1"/>
        <v/>
      </c>
      <c r="J41" s="32" t="str">
        <f t="shared" si="2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65"/>
      <c r="F42" s="65"/>
      <c r="G42" s="66"/>
      <c r="H42" s="57">
        <f t="shared" si="0"/>
        <v>0.4</v>
      </c>
      <c r="I42" s="56" t="str">
        <f t="shared" si="1"/>
        <v/>
      </c>
      <c r="J42" s="32" t="str">
        <f t="shared" si="2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68"/>
      <c r="F43" s="68"/>
      <c r="G43" s="56" t="str">
        <f>IFERROR(IF(F43=0,"",E43/F43),"")</f>
        <v/>
      </c>
      <c r="H43" s="57">
        <f t="shared" si="0"/>
        <v>0.4</v>
      </c>
      <c r="I43" s="56" t="str">
        <f t="shared" si="1"/>
        <v/>
      </c>
      <c r="J43" s="32" t="str">
        <f t="shared" si="2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65"/>
      <c r="F44" s="65"/>
      <c r="G44" s="66"/>
      <c r="H44" s="57">
        <f t="shared" si="0"/>
        <v>0.4</v>
      </c>
      <c r="I44" s="56" t="str">
        <f t="shared" si="1"/>
        <v/>
      </c>
      <c r="J44" s="32" t="str">
        <f t="shared" si="2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65"/>
      <c r="F45" s="65"/>
      <c r="G45" s="66"/>
      <c r="H45" s="57">
        <f t="shared" si="0"/>
        <v>0.4</v>
      </c>
      <c r="I45" s="56" t="str">
        <f t="shared" si="1"/>
        <v/>
      </c>
      <c r="J45" s="32" t="str">
        <f t="shared" si="2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68"/>
      <c r="F46" s="68"/>
      <c r="G46" s="56" t="str">
        <f>IFERROR(IF(F46=0,"",E46/F46),"")</f>
        <v/>
      </c>
      <c r="H46" s="57">
        <f t="shared" si="0"/>
        <v>0.4</v>
      </c>
      <c r="I46" s="56" t="str">
        <f t="shared" si="1"/>
        <v/>
      </c>
      <c r="J46" s="32" t="str">
        <f t="shared" si="2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65"/>
      <c r="F47" s="65"/>
      <c r="G47" s="66"/>
      <c r="H47" s="57">
        <f t="shared" si="0"/>
        <v>0.4</v>
      </c>
      <c r="I47" s="56" t="str">
        <f t="shared" si="1"/>
        <v/>
      </c>
      <c r="J47" s="32" t="str">
        <f t="shared" si="2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65"/>
      <c r="F48" s="65"/>
      <c r="G48" s="66"/>
      <c r="H48" s="57">
        <f t="shared" si="0"/>
        <v>0.4</v>
      </c>
      <c r="I48" s="56" t="str">
        <f t="shared" si="1"/>
        <v/>
      </c>
      <c r="J48" s="32" t="str">
        <f t="shared" si="2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68"/>
      <c r="F49" s="68"/>
      <c r="G49" s="56" t="str">
        <f>IFERROR(IF(F49=0,"",E49/F49),"")</f>
        <v/>
      </c>
      <c r="H49" s="57">
        <f t="shared" si="0"/>
        <v>0.4</v>
      </c>
      <c r="I49" s="56" t="str">
        <f t="shared" si="1"/>
        <v/>
      </c>
      <c r="J49" s="32" t="str">
        <f t="shared" si="2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65"/>
      <c r="F50" s="65"/>
      <c r="G50" s="66"/>
      <c r="H50" s="57">
        <f t="shared" si="0"/>
        <v>0.4</v>
      </c>
      <c r="I50" s="56" t="str">
        <f t="shared" si="1"/>
        <v/>
      </c>
      <c r="J50" s="32" t="str">
        <f t="shared" si="2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65"/>
      <c r="F51" s="65"/>
      <c r="G51" s="66"/>
      <c r="H51" s="57">
        <f t="shared" si="0"/>
        <v>0.4</v>
      </c>
      <c r="I51" s="56" t="str">
        <f t="shared" si="1"/>
        <v/>
      </c>
      <c r="J51" s="32" t="str">
        <f t="shared" si="2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68"/>
      <c r="F52" s="68"/>
      <c r="G52" s="56" t="str">
        <f>IFERROR(IF(F52=0,"",E52/F52),"")</f>
        <v/>
      </c>
      <c r="H52" s="57">
        <f t="shared" si="0"/>
        <v>0.4</v>
      </c>
      <c r="I52" s="56" t="str">
        <f t="shared" si="1"/>
        <v/>
      </c>
      <c r="J52" s="32" t="str">
        <f t="shared" si="2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65"/>
      <c r="F53" s="65"/>
      <c r="G53" s="66"/>
      <c r="H53" s="57">
        <f t="shared" si="0"/>
        <v>0.4</v>
      </c>
      <c r="I53" s="56" t="str">
        <f t="shared" si="1"/>
        <v/>
      </c>
      <c r="J53" s="32" t="str">
        <f t="shared" si="2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65"/>
      <c r="F54" s="65"/>
      <c r="G54" s="66"/>
      <c r="H54" s="57">
        <f t="shared" si="0"/>
        <v>0.4</v>
      </c>
      <c r="I54" s="56" t="str">
        <f t="shared" si="1"/>
        <v/>
      </c>
      <c r="J54" s="32" t="str">
        <f t="shared" si="2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68"/>
      <c r="F55" s="68"/>
      <c r="G55" s="56" t="str">
        <f>IFERROR(IF(F55=0,"",E55/F55),"")</f>
        <v/>
      </c>
      <c r="H55" s="57">
        <f t="shared" ref="H55:H82" si="3">IFERROR(VLOOKUP(C55,$B$14:$C$18,2,FALSE()),"")</f>
        <v>0.4</v>
      </c>
      <c r="I55" s="56" t="str">
        <f t="shared" ref="I55:I86" si="4">IFERROR(IF(OR(G55="",NOT(ISNUMBER(H55))),"",G55/H55),"")</f>
        <v/>
      </c>
      <c r="J55" s="32" t="str">
        <f t="shared" ref="J55:J86" si="5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65"/>
      <c r="F56" s="65"/>
      <c r="G56" s="66"/>
      <c r="H56" s="57">
        <f t="shared" si="3"/>
        <v>0.4</v>
      </c>
      <c r="I56" s="56" t="str">
        <f t="shared" si="4"/>
        <v/>
      </c>
      <c r="J56" s="32" t="str">
        <f t="shared" si="5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65"/>
      <c r="F57" s="65"/>
      <c r="G57" s="66"/>
      <c r="H57" s="57">
        <f t="shared" si="3"/>
        <v>0.4</v>
      </c>
      <c r="I57" s="56" t="str">
        <f t="shared" si="4"/>
        <v/>
      </c>
      <c r="J57" s="32" t="str">
        <f t="shared" si="5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68"/>
      <c r="F58" s="68"/>
      <c r="G58" s="56" t="str">
        <f>IFERROR(IF(F58=0,"",E58/F58),"")</f>
        <v/>
      </c>
      <c r="H58" s="57">
        <f t="shared" si="3"/>
        <v>0.4</v>
      </c>
      <c r="I58" s="56" t="str">
        <f t="shared" si="4"/>
        <v/>
      </c>
      <c r="J58" s="32" t="str">
        <f t="shared" si="5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65"/>
      <c r="F59" s="65"/>
      <c r="G59" s="66"/>
      <c r="H59" s="57">
        <f t="shared" si="3"/>
        <v>0.4</v>
      </c>
      <c r="I59" s="56" t="str">
        <f t="shared" si="4"/>
        <v/>
      </c>
      <c r="J59" s="32" t="str">
        <f t="shared" si="5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65"/>
      <c r="F60" s="65"/>
      <c r="G60" s="66"/>
      <c r="H60" s="57">
        <f t="shared" si="3"/>
        <v>0.4</v>
      </c>
      <c r="I60" s="56" t="str">
        <f t="shared" si="4"/>
        <v/>
      </c>
      <c r="J60" s="32" t="str">
        <f t="shared" si="5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68"/>
      <c r="F61" s="68"/>
      <c r="G61" s="56" t="str">
        <f>IFERROR(IF(F61=0,"",E61/F61),"")</f>
        <v/>
      </c>
      <c r="H61" s="57">
        <f t="shared" si="3"/>
        <v>0.4</v>
      </c>
      <c r="I61" s="56" t="str">
        <f t="shared" si="4"/>
        <v/>
      </c>
      <c r="J61" s="32" t="str">
        <f t="shared" si="5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65"/>
      <c r="F62" s="65"/>
      <c r="G62" s="66"/>
      <c r="H62" s="57">
        <f t="shared" si="3"/>
        <v>0.4</v>
      </c>
      <c r="I62" s="56" t="str">
        <f t="shared" si="4"/>
        <v/>
      </c>
      <c r="J62" s="32" t="str">
        <f t="shared" si="5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65"/>
      <c r="F63" s="65"/>
      <c r="G63" s="66"/>
      <c r="H63" s="57">
        <f t="shared" si="3"/>
        <v>0.4</v>
      </c>
      <c r="I63" s="56" t="str">
        <f t="shared" si="4"/>
        <v/>
      </c>
      <c r="J63" s="32" t="str">
        <f t="shared" si="5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68"/>
      <c r="F64" s="68"/>
      <c r="G64" s="56" t="str">
        <f>IFERROR(IF(F64=0,"",E64/F64),"")</f>
        <v/>
      </c>
      <c r="H64" s="57">
        <f t="shared" si="3"/>
        <v>0.4</v>
      </c>
      <c r="I64" s="56" t="str">
        <f t="shared" si="4"/>
        <v/>
      </c>
      <c r="J64" s="32" t="str">
        <f t="shared" si="5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65"/>
      <c r="F65" s="65"/>
      <c r="G65" s="66"/>
      <c r="H65" s="57">
        <f t="shared" si="3"/>
        <v>0.4</v>
      </c>
      <c r="I65" s="56" t="str">
        <f t="shared" si="4"/>
        <v/>
      </c>
      <c r="J65" s="32" t="str">
        <f t="shared" si="5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65"/>
      <c r="F66" s="65"/>
      <c r="G66" s="66"/>
      <c r="H66" s="57">
        <f t="shared" si="3"/>
        <v>0.4</v>
      </c>
      <c r="I66" s="56" t="str">
        <f t="shared" si="4"/>
        <v/>
      </c>
      <c r="J66" s="32" t="str">
        <f t="shared" si="5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68"/>
      <c r="F67" s="68"/>
      <c r="G67" s="56" t="str">
        <f>IFERROR(IF(F67=0,"",E67/F67),"")</f>
        <v/>
      </c>
      <c r="H67" s="57">
        <f t="shared" si="3"/>
        <v>0.4</v>
      </c>
      <c r="I67" s="56" t="str">
        <f t="shared" si="4"/>
        <v/>
      </c>
      <c r="J67" s="32" t="str">
        <f t="shared" si="5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65"/>
      <c r="F68" s="65"/>
      <c r="G68" s="66"/>
      <c r="H68" s="57">
        <f t="shared" si="3"/>
        <v>0.4</v>
      </c>
      <c r="I68" s="56" t="str">
        <f t="shared" si="4"/>
        <v/>
      </c>
      <c r="J68" s="32" t="str">
        <f t="shared" si="5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65"/>
      <c r="F69" s="65"/>
      <c r="G69" s="66"/>
      <c r="H69" s="57">
        <f t="shared" si="3"/>
        <v>0.4</v>
      </c>
      <c r="I69" s="56" t="str">
        <f t="shared" si="4"/>
        <v/>
      </c>
      <c r="J69" s="32" t="str">
        <f t="shared" si="5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68"/>
      <c r="F70" s="68"/>
      <c r="G70" s="56" t="str">
        <f>IFERROR(IF(F70=0,"",E70/F70),"")</f>
        <v/>
      </c>
      <c r="H70" s="57">
        <f t="shared" si="3"/>
        <v>0.4</v>
      </c>
      <c r="I70" s="56" t="str">
        <f t="shared" si="4"/>
        <v/>
      </c>
      <c r="J70" s="32" t="str">
        <f t="shared" si="5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65"/>
      <c r="F71" s="65"/>
      <c r="G71" s="66"/>
      <c r="H71" s="57">
        <f t="shared" si="3"/>
        <v>0.4</v>
      </c>
      <c r="I71" s="56" t="str">
        <f t="shared" si="4"/>
        <v/>
      </c>
      <c r="J71" s="32" t="str">
        <f t="shared" si="5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65"/>
      <c r="F72" s="65"/>
      <c r="G72" s="66"/>
      <c r="H72" s="57">
        <f t="shared" si="3"/>
        <v>0.4</v>
      </c>
      <c r="I72" s="56" t="str">
        <f t="shared" si="4"/>
        <v/>
      </c>
      <c r="J72" s="32" t="str">
        <f t="shared" si="5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68"/>
      <c r="F73" s="68"/>
      <c r="G73" s="56" t="str">
        <f>IFERROR(IF(F73=0,"",E73/F73),"")</f>
        <v/>
      </c>
      <c r="H73" s="57">
        <f t="shared" si="3"/>
        <v>0.4</v>
      </c>
      <c r="I73" s="56" t="str">
        <f t="shared" si="4"/>
        <v/>
      </c>
      <c r="J73" s="32" t="str">
        <f t="shared" si="5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65"/>
      <c r="F74" s="65"/>
      <c r="G74" s="66"/>
      <c r="H74" s="57">
        <f t="shared" si="3"/>
        <v>0.4</v>
      </c>
      <c r="I74" s="56" t="str">
        <f t="shared" si="4"/>
        <v/>
      </c>
      <c r="J74" s="32" t="str">
        <f t="shared" si="5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65"/>
      <c r="F75" s="65"/>
      <c r="G75" s="66"/>
      <c r="H75" s="57">
        <f t="shared" si="3"/>
        <v>0.4</v>
      </c>
      <c r="I75" s="56" t="str">
        <f t="shared" si="4"/>
        <v/>
      </c>
      <c r="J75" s="32" t="str">
        <f t="shared" si="5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68"/>
      <c r="F76" s="68"/>
      <c r="G76" s="56" t="str">
        <f>IFERROR(IF(F76=0,"",E76/F76),"")</f>
        <v/>
      </c>
      <c r="H76" s="57">
        <f t="shared" si="3"/>
        <v>0.4</v>
      </c>
      <c r="I76" s="56" t="str">
        <f t="shared" si="4"/>
        <v/>
      </c>
      <c r="J76" s="32" t="str">
        <f t="shared" si="5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65"/>
      <c r="F77" s="65"/>
      <c r="G77" s="66"/>
      <c r="H77" s="57">
        <f t="shared" si="3"/>
        <v>0.4</v>
      </c>
      <c r="I77" s="56" t="str">
        <f t="shared" si="4"/>
        <v/>
      </c>
      <c r="J77" s="32" t="str">
        <f t="shared" si="5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65"/>
      <c r="F78" s="65"/>
      <c r="G78" s="66"/>
      <c r="H78" s="57">
        <f t="shared" si="3"/>
        <v>0.4</v>
      </c>
      <c r="I78" s="56" t="str">
        <f t="shared" si="4"/>
        <v/>
      </c>
      <c r="J78" s="32" t="str">
        <f t="shared" si="5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68"/>
      <c r="F79" s="68"/>
      <c r="G79" s="56" t="str">
        <f>IFERROR(IF(F79=0,"",E79/F79),"")</f>
        <v/>
      </c>
      <c r="H79" s="57">
        <f t="shared" si="3"/>
        <v>0.4</v>
      </c>
      <c r="I79" s="56" t="str">
        <f t="shared" si="4"/>
        <v/>
      </c>
      <c r="J79" s="32" t="str">
        <f t="shared" si="5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65"/>
      <c r="F80" s="65"/>
      <c r="G80" s="66"/>
      <c r="H80" s="57">
        <f t="shared" si="3"/>
        <v>0.4</v>
      </c>
      <c r="I80" s="56" t="str">
        <f t="shared" si="4"/>
        <v/>
      </c>
      <c r="J80" s="32" t="str">
        <f t="shared" si="5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65"/>
      <c r="F81" s="65"/>
      <c r="G81" s="66"/>
      <c r="H81" s="57">
        <f t="shared" si="3"/>
        <v>0.4</v>
      </c>
      <c r="I81" s="56" t="str">
        <f t="shared" si="4"/>
        <v/>
      </c>
      <c r="J81" s="32" t="str">
        <f t="shared" si="5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68"/>
      <c r="F82" s="68"/>
      <c r="G82" s="56" t="str">
        <f>IFERROR(IF(F82=0,"",E82/F82),"")</f>
        <v/>
      </c>
      <c r="H82" s="57">
        <f t="shared" si="3"/>
        <v>0.4</v>
      </c>
      <c r="I82" s="56" t="str">
        <f t="shared" si="4"/>
        <v/>
      </c>
      <c r="J82" s="32" t="str">
        <f t="shared" si="5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27" priority="2">
      <formula>AND(ISNUMBER(I23),I23&gt;=0.95)</formula>
    </cfRule>
    <cfRule type="expression" dxfId="26" priority="3">
      <formula>AND(ISNUMBER(I23),I23&gt;=0.8,I23&lt;0.95)</formula>
    </cfRule>
    <cfRule type="expression" dxfId="25" priority="4">
      <formula>AND(ISNUMBER(I23),I23&lt;0.8)</formula>
    </cfRule>
  </conditionalFormatting>
  <conditionalFormatting sqref="J23:J82">
    <cfRule type="expression" dxfId="24" priority="5">
      <formula>J23="Cumple"</formula>
    </cfRule>
    <cfRule type="expression" dxfId="23" priority="6">
      <formula>J23="En riesgo"</formula>
    </cfRule>
    <cfRule type="expression" dxfId="22" priority="7">
      <formula>J23="Crítico"</formula>
    </cfRule>
    <cfRule type="expression" dxfId="21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8E44AD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114" t="s">
        <v>307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112" t="s">
        <v>304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194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195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83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VLOOKUP("IND-23",Parámetros!$B$6:$F$30,5,FALSE())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113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0.4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0.4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0.4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0.4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0.4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111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308</v>
      </c>
      <c r="F22" s="21" t="s">
        <v>306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65"/>
      <c r="F23" s="65"/>
      <c r="G23" s="66"/>
      <c r="H23" s="57">
        <f t="shared" ref="H23:H54" si="0">IFERROR(VLOOKUP(C23,$B$14:$C$18,2,FALSE()),"")</f>
        <v>0.4</v>
      </c>
      <c r="I23" s="56" t="str">
        <f t="shared" ref="I23:I54" si="1">IFERROR(IF(OR(G23="",NOT(ISNUMBER(H23))),"",G23/H23),"")</f>
        <v/>
      </c>
      <c r="J23" s="32" t="str">
        <f t="shared" ref="J23:J54" si="2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65"/>
      <c r="F24" s="65"/>
      <c r="G24" s="66"/>
      <c r="H24" s="57">
        <f t="shared" si="0"/>
        <v>0.4</v>
      </c>
      <c r="I24" s="56" t="str">
        <f t="shared" si="1"/>
        <v/>
      </c>
      <c r="J24" s="32" t="str">
        <f t="shared" si="2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68"/>
      <c r="F25" s="68"/>
      <c r="G25" s="56" t="str">
        <f>IFERROR(IF(F25=0,"",E25/F25),"")</f>
        <v/>
      </c>
      <c r="H25" s="57">
        <f t="shared" si="0"/>
        <v>0.4</v>
      </c>
      <c r="I25" s="56" t="str">
        <f t="shared" si="1"/>
        <v/>
      </c>
      <c r="J25" s="32" t="str">
        <f t="shared" si="2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65"/>
      <c r="F26" s="65"/>
      <c r="G26" s="66"/>
      <c r="H26" s="57">
        <f t="shared" si="0"/>
        <v>0.4</v>
      </c>
      <c r="I26" s="56" t="str">
        <f t="shared" si="1"/>
        <v/>
      </c>
      <c r="J26" s="32" t="str">
        <f t="shared" si="2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65"/>
      <c r="F27" s="65"/>
      <c r="G27" s="66"/>
      <c r="H27" s="57">
        <f t="shared" si="0"/>
        <v>0.4</v>
      </c>
      <c r="I27" s="56" t="str">
        <f t="shared" si="1"/>
        <v/>
      </c>
      <c r="J27" s="32" t="str">
        <f t="shared" si="2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68"/>
      <c r="F28" s="68"/>
      <c r="G28" s="56" t="str">
        <f>IFERROR(IF(F28=0,"",E28/F28),"")</f>
        <v/>
      </c>
      <c r="H28" s="57">
        <f t="shared" si="0"/>
        <v>0.4</v>
      </c>
      <c r="I28" s="56" t="str">
        <f t="shared" si="1"/>
        <v/>
      </c>
      <c r="J28" s="32" t="str">
        <f t="shared" si="2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65"/>
      <c r="F29" s="65"/>
      <c r="G29" s="66"/>
      <c r="H29" s="57">
        <f t="shared" si="0"/>
        <v>0.4</v>
      </c>
      <c r="I29" s="56" t="str">
        <f t="shared" si="1"/>
        <v/>
      </c>
      <c r="J29" s="32" t="str">
        <f t="shared" si="2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65"/>
      <c r="F30" s="65"/>
      <c r="G30" s="66"/>
      <c r="H30" s="57">
        <f t="shared" si="0"/>
        <v>0.4</v>
      </c>
      <c r="I30" s="56" t="str">
        <f t="shared" si="1"/>
        <v/>
      </c>
      <c r="J30" s="32" t="str">
        <f t="shared" si="2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68"/>
      <c r="F31" s="68"/>
      <c r="G31" s="56" t="str">
        <f>IFERROR(IF(F31=0,"",E31/F31),"")</f>
        <v/>
      </c>
      <c r="H31" s="57">
        <f t="shared" si="0"/>
        <v>0.4</v>
      </c>
      <c r="I31" s="56" t="str">
        <f t="shared" si="1"/>
        <v/>
      </c>
      <c r="J31" s="32" t="str">
        <f t="shared" si="2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65"/>
      <c r="F32" s="65"/>
      <c r="G32" s="66"/>
      <c r="H32" s="57">
        <f t="shared" si="0"/>
        <v>0.4</v>
      </c>
      <c r="I32" s="56" t="str">
        <f t="shared" si="1"/>
        <v/>
      </c>
      <c r="J32" s="32" t="str">
        <f t="shared" si="2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65"/>
      <c r="F33" s="65"/>
      <c r="G33" s="66"/>
      <c r="H33" s="57">
        <f t="shared" si="0"/>
        <v>0.4</v>
      </c>
      <c r="I33" s="56" t="str">
        <f t="shared" si="1"/>
        <v/>
      </c>
      <c r="J33" s="32" t="str">
        <f t="shared" si="2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68"/>
      <c r="F34" s="68"/>
      <c r="G34" s="56" t="str">
        <f>IFERROR(IF(F34=0,"",E34/F34),"")</f>
        <v/>
      </c>
      <c r="H34" s="57">
        <f t="shared" si="0"/>
        <v>0.4</v>
      </c>
      <c r="I34" s="56" t="str">
        <f t="shared" si="1"/>
        <v/>
      </c>
      <c r="J34" s="32" t="str">
        <f t="shared" si="2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65"/>
      <c r="F35" s="65"/>
      <c r="G35" s="66"/>
      <c r="H35" s="57">
        <f t="shared" si="0"/>
        <v>0.4</v>
      </c>
      <c r="I35" s="56" t="str">
        <f t="shared" si="1"/>
        <v/>
      </c>
      <c r="J35" s="32" t="str">
        <f t="shared" si="2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65"/>
      <c r="F36" s="65"/>
      <c r="G36" s="66"/>
      <c r="H36" s="57">
        <f t="shared" si="0"/>
        <v>0.4</v>
      </c>
      <c r="I36" s="56" t="str">
        <f t="shared" si="1"/>
        <v/>
      </c>
      <c r="J36" s="32" t="str">
        <f t="shared" si="2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68"/>
      <c r="F37" s="68"/>
      <c r="G37" s="56" t="str">
        <f>IFERROR(IF(F37=0,"",E37/F37),"")</f>
        <v/>
      </c>
      <c r="H37" s="57">
        <f t="shared" si="0"/>
        <v>0.4</v>
      </c>
      <c r="I37" s="56" t="str">
        <f t="shared" si="1"/>
        <v/>
      </c>
      <c r="J37" s="32" t="str">
        <f t="shared" si="2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65"/>
      <c r="F38" s="65"/>
      <c r="G38" s="66"/>
      <c r="H38" s="57">
        <f t="shared" si="0"/>
        <v>0.4</v>
      </c>
      <c r="I38" s="56" t="str">
        <f t="shared" si="1"/>
        <v/>
      </c>
      <c r="J38" s="32" t="str">
        <f t="shared" si="2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65"/>
      <c r="F39" s="65"/>
      <c r="G39" s="66"/>
      <c r="H39" s="57">
        <f t="shared" si="0"/>
        <v>0.4</v>
      </c>
      <c r="I39" s="56" t="str">
        <f t="shared" si="1"/>
        <v/>
      </c>
      <c r="J39" s="32" t="str">
        <f t="shared" si="2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68"/>
      <c r="F40" s="68"/>
      <c r="G40" s="56" t="str">
        <f>IFERROR(IF(F40=0,"",E40/F40),"")</f>
        <v/>
      </c>
      <c r="H40" s="57">
        <f t="shared" si="0"/>
        <v>0.4</v>
      </c>
      <c r="I40" s="56" t="str">
        <f t="shared" si="1"/>
        <v/>
      </c>
      <c r="J40" s="32" t="str">
        <f t="shared" si="2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65"/>
      <c r="F41" s="65"/>
      <c r="G41" s="66"/>
      <c r="H41" s="57">
        <f t="shared" si="0"/>
        <v>0.4</v>
      </c>
      <c r="I41" s="56" t="str">
        <f t="shared" si="1"/>
        <v/>
      </c>
      <c r="J41" s="32" t="str">
        <f t="shared" si="2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65"/>
      <c r="F42" s="65"/>
      <c r="G42" s="66"/>
      <c r="H42" s="57">
        <f t="shared" si="0"/>
        <v>0.4</v>
      </c>
      <c r="I42" s="56" t="str">
        <f t="shared" si="1"/>
        <v/>
      </c>
      <c r="J42" s="32" t="str">
        <f t="shared" si="2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68"/>
      <c r="F43" s="68"/>
      <c r="G43" s="56" t="str">
        <f>IFERROR(IF(F43=0,"",E43/F43),"")</f>
        <v/>
      </c>
      <c r="H43" s="57">
        <f t="shared" si="0"/>
        <v>0.4</v>
      </c>
      <c r="I43" s="56" t="str">
        <f t="shared" si="1"/>
        <v/>
      </c>
      <c r="J43" s="32" t="str">
        <f t="shared" si="2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65"/>
      <c r="F44" s="65"/>
      <c r="G44" s="66"/>
      <c r="H44" s="57">
        <f t="shared" si="0"/>
        <v>0.4</v>
      </c>
      <c r="I44" s="56" t="str">
        <f t="shared" si="1"/>
        <v/>
      </c>
      <c r="J44" s="32" t="str">
        <f t="shared" si="2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65"/>
      <c r="F45" s="65"/>
      <c r="G45" s="66"/>
      <c r="H45" s="57">
        <f t="shared" si="0"/>
        <v>0.4</v>
      </c>
      <c r="I45" s="56" t="str">
        <f t="shared" si="1"/>
        <v/>
      </c>
      <c r="J45" s="32" t="str">
        <f t="shared" si="2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68"/>
      <c r="F46" s="68"/>
      <c r="G46" s="56" t="str">
        <f>IFERROR(IF(F46=0,"",E46/F46),"")</f>
        <v/>
      </c>
      <c r="H46" s="57">
        <f t="shared" si="0"/>
        <v>0.4</v>
      </c>
      <c r="I46" s="56" t="str">
        <f t="shared" si="1"/>
        <v/>
      </c>
      <c r="J46" s="32" t="str">
        <f t="shared" si="2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65"/>
      <c r="F47" s="65"/>
      <c r="G47" s="66"/>
      <c r="H47" s="57">
        <f t="shared" si="0"/>
        <v>0.4</v>
      </c>
      <c r="I47" s="56" t="str">
        <f t="shared" si="1"/>
        <v/>
      </c>
      <c r="J47" s="32" t="str">
        <f t="shared" si="2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65"/>
      <c r="F48" s="65"/>
      <c r="G48" s="66"/>
      <c r="H48" s="57">
        <f t="shared" si="0"/>
        <v>0.4</v>
      </c>
      <c r="I48" s="56" t="str">
        <f t="shared" si="1"/>
        <v/>
      </c>
      <c r="J48" s="32" t="str">
        <f t="shared" si="2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68"/>
      <c r="F49" s="68"/>
      <c r="G49" s="56" t="str">
        <f>IFERROR(IF(F49=0,"",E49/F49),"")</f>
        <v/>
      </c>
      <c r="H49" s="57">
        <f t="shared" si="0"/>
        <v>0.4</v>
      </c>
      <c r="I49" s="56" t="str">
        <f t="shared" si="1"/>
        <v/>
      </c>
      <c r="J49" s="32" t="str">
        <f t="shared" si="2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65"/>
      <c r="F50" s="65"/>
      <c r="G50" s="66"/>
      <c r="H50" s="57">
        <f t="shared" si="0"/>
        <v>0.4</v>
      </c>
      <c r="I50" s="56" t="str">
        <f t="shared" si="1"/>
        <v/>
      </c>
      <c r="J50" s="32" t="str">
        <f t="shared" si="2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65"/>
      <c r="F51" s="65"/>
      <c r="G51" s="66"/>
      <c r="H51" s="57">
        <f t="shared" si="0"/>
        <v>0.4</v>
      </c>
      <c r="I51" s="56" t="str">
        <f t="shared" si="1"/>
        <v/>
      </c>
      <c r="J51" s="32" t="str">
        <f t="shared" si="2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68"/>
      <c r="F52" s="68"/>
      <c r="G52" s="56" t="str">
        <f>IFERROR(IF(F52=0,"",E52/F52),"")</f>
        <v/>
      </c>
      <c r="H52" s="57">
        <f t="shared" si="0"/>
        <v>0.4</v>
      </c>
      <c r="I52" s="56" t="str">
        <f t="shared" si="1"/>
        <v/>
      </c>
      <c r="J52" s="32" t="str">
        <f t="shared" si="2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65"/>
      <c r="F53" s="65"/>
      <c r="G53" s="66"/>
      <c r="H53" s="57">
        <f t="shared" si="0"/>
        <v>0.4</v>
      </c>
      <c r="I53" s="56" t="str">
        <f t="shared" si="1"/>
        <v/>
      </c>
      <c r="J53" s="32" t="str">
        <f t="shared" si="2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65"/>
      <c r="F54" s="65"/>
      <c r="G54" s="66"/>
      <c r="H54" s="57">
        <f t="shared" si="0"/>
        <v>0.4</v>
      </c>
      <c r="I54" s="56" t="str">
        <f t="shared" si="1"/>
        <v/>
      </c>
      <c r="J54" s="32" t="str">
        <f t="shared" si="2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68"/>
      <c r="F55" s="68"/>
      <c r="G55" s="56" t="str">
        <f>IFERROR(IF(F55=0,"",E55/F55),"")</f>
        <v/>
      </c>
      <c r="H55" s="57">
        <f t="shared" ref="H55:H82" si="3">IFERROR(VLOOKUP(C55,$B$14:$C$18,2,FALSE()),"")</f>
        <v>0.4</v>
      </c>
      <c r="I55" s="56" t="str">
        <f t="shared" ref="I55:I86" si="4">IFERROR(IF(OR(G55="",NOT(ISNUMBER(H55))),"",G55/H55),"")</f>
        <v/>
      </c>
      <c r="J55" s="32" t="str">
        <f t="shared" ref="J55:J86" si="5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65"/>
      <c r="F56" s="65"/>
      <c r="G56" s="66"/>
      <c r="H56" s="57">
        <f t="shared" si="3"/>
        <v>0.4</v>
      </c>
      <c r="I56" s="56" t="str">
        <f t="shared" si="4"/>
        <v/>
      </c>
      <c r="J56" s="32" t="str">
        <f t="shared" si="5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65"/>
      <c r="F57" s="65"/>
      <c r="G57" s="66"/>
      <c r="H57" s="57">
        <f t="shared" si="3"/>
        <v>0.4</v>
      </c>
      <c r="I57" s="56" t="str">
        <f t="shared" si="4"/>
        <v/>
      </c>
      <c r="J57" s="32" t="str">
        <f t="shared" si="5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68"/>
      <c r="F58" s="68"/>
      <c r="G58" s="56" t="str">
        <f>IFERROR(IF(F58=0,"",E58/F58),"")</f>
        <v/>
      </c>
      <c r="H58" s="57">
        <f t="shared" si="3"/>
        <v>0.4</v>
      </c>
      <c r="I58" s="56" t="str">
        <f t="shared" si="4"/>
        <v/>
      </c>
      <c r="J58" s="32" t="str">
        <f t="shared" si="5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65"/>
      <c r="F59" s="65"/>
      <c r="G59" s="66"/>
      <c r="H59" s="57">
        <f t="shared" si="3"/>
        <v>0.4</v>
      </c>
      <c r="I59" s="56" t="str">
        <f t="shared" si="4"/>
        <v/>
      </c>
      <c r="J59" s="32" t="str">
        <f t="shared" si="5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65"/>
      <c r="F60" s="65"/>
      <c r="G60" s="66"/>
      <c r="H60" s="57">
        <f t="shared" si="3"/>
        <v>0.4</v>
      </c>
      <c r="I60" s="56" t="str">
        <f t="shared" si="4"/>
        <v/>
      </c>
      <c r="J60" s="32" t="str">
        <f t="shared" si="5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68"/>
      <c r="F61" s="68"/>
      <c r="G61" s="56" t="str">
        <f>IFERROR(IF(F61=0,"",E61/F61),"")</f>
        <v/>
      </c>
      <c r="H61" s="57">
        <f t="shared" si="3"/>
        <v>0.4</v>
      </c>
      <c r="I61" s="56" t="str">
        <f t="shared" si="4"/>
        <v/>
      </c>
      <c r="J61" s="32" t="str">
        <f t="shared" si="5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65"/>
      <c r="F62" s="65"/>
      <c r="G62" s="66"/>
      <c r="H62" s="57">
        <f t="shared" si="3"/>
        <v>0.4</v>
      </c>
      <c r="I62" s="56" t="str">
        <f t="shared" si="4"/>
        <v/>
      </c>
      <c r="J62" s="32" t="str">
        <f t="shared" si="5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65"/>
      <c r="F63" s="65"/>
      <c r="G63" s="66"/>
      <c r="H63" s="57">
        <f t="shared" si="3"/>
        <v>0.4</v>
      </c>
      <c r="I63" s="56" t="str">
        <f t="shared" si="4"/>
        <v/>
      </c>
      <c r="J63" s="32" t="str">
        <f t="shared" si="5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68"/>
      <c r="F64" s="68"/>
      <c r="G64" s="56" t="str">
        <f>IFERROR(IF(F64=0,"",E64/F64),"")</f>
        <v/>
      </c>
      <c r="H64" s="57">
        <f t="shared" si="3"/>
        <v>0.4</v>
      </c>
      <c r="I64" s="56" t="str">
        <f t="shared" si="4"/>
        <v/>
      </c>
      <c r="J64" s="32" t="str">
        <f t="shared" si="5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65"/>
      <c r="F65" s="65"/>
      <c r="G65" s="66"/>
      <c r="H65" s="57">
        <f t="shared" si="3"/>
        <v>0.4</v>
      </c>
      <c r="I65" s="56" t="str">
        <f t="shared" si="4"/>
        <v/>
      </c>
      <c r="J65" s="32" t="str">
        <f t="shared" si="5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65"/>
      <c r="F66" s="65"/>
      <c r="G66" s="66"/>
      <c r="H66" s="57">
        <f t="shared" si="3"/>
        <v>0.4</v>
      </c>
      <c r="I66" s="56" t="str">
        <f t="shared" si="4"/>
        <v/>
      </c>
      <c r="J66" s="32" t="str">
        <f t="shared" si="5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68"/>
      <c r="F67" s="68"/>
      <c r="G67" s="56" t="str">
        <f>IFERROR(IF(F67=0,"",E67/F67),"")</f>
        <v/>
      </c>
      <c r="H67" s="57">
        <f t="shared" si="3"/>
        <v>0.4</v>
      </c>
      <c r="I67" s="56" t="str">
        <f t="shared" si="4"/>
        <v/>
      </c>
      <c r="J67" s="32" t="str">
        <f t="shared" si="5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65"/>
      <c r="F68" s="65"/>
      <c r="G68" s="66"/>
      <c r="H68" s="57">
        <f t="shared" si="3"/>
        <v>0.4</v>
      </c>
      <c r="I68" s="56" t="str">
        <f t="shared" si="4"/>
        <v/>
      </c>
      <c r="J68" s="32" t="str">
        <f t="shared" si="5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65"/>
      <c r="F69" s="65"/>
      <c r="G69" s="66"/>
      <c r="H69" s="57">
        <f t="shared" si="3"/>
        <v>0.4</v>
      </c>
      <c r="I69" s="56" t="str">
        <f t="shared" si="4"/>
        <v/>
      </c>
      <c r="J69" s="32" t="str">
        <f t="shared" si="5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68"/>
      <c r="F70" s="68"/>
      <c r="G70" s="56" t="str">
        <f>IFERROR(IF(F70=0,"",E70/F70),"")</f>
        <v/>
      </c>
      <c r="H70" s="57">
        <f t="shared" si="3"/>
        <v>0.4</v>
      </c>
      <c r="I70" s="56" t="str">
        <f t="shared" si="4"/>
        <v/>
      </c>
      <c r="J70" s="32" t="str">
        <f t="shared" si="5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65"/>
      <c r="F71" s="65"/>
      <c r="G71" s="66"/>
      <c r="H71" s="57">
        <f t="shared" si="3"/>
        <v>0.4</v>
      </c>
      <c r="I71" s="56" t="str">
        <f t="shared" si="4"/>
        <v/>
      </c>
      <c r="J71" s="32" t="str">
        <f t="shared" si="5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65"/>
      <c r="F72" s="65"/>
      <c r="G72" s="66"/>
      <c r="H72" s="57">
        <f t="shared" si="3"/>
        <v>0.4</v>
      </c>
      <c r="I72" s="56" t="str">
        <f t="shared" si="4"/>
        <v/>
      </c>
      <c r="J72" s="32" t="str">
        <f t="shared" si="5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68"/>
      <c r="F73" s="68"/>
      <c r="G73" s="56" t="str">
        <f>IFERROR(IF(F73=0,"",E73/F73),"")</f>
        <v/>
      </c>
      <c r="H73" s="57">
        <f t="shared" si="3"/>
        <v>0.4</v>
      </c>
      <c r="I73" s="56" t="str">
        <f t="shared" si="4"/>
        <v/>
      </c>
      <c r="J73" s="32" t="str">
        <f t="shared" si="5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65"/>
      <c r="F74" s="65"/>
      <c r="G74" s="66"/>
      <c r="H74" s="57">
        <f t="shared" si="3"/>
        <v>0.4</v>
      </c>
      <c r="I74" s="56" t="str">
        <f t="shared" si="4"/>
        <v/>
      </c>
      <c r="J74" s="32" t="str">
        <f t="shared" si="5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65"/>
      <c r="F75" s="65"/>
      <c r="G75" s="66"/>
      <c r="H75" s="57">
        <f t="shared" si="3"/>
        <v>0.4</v>
      </c>
      <c r="I75" s="56" t="str">
        <f t="shared" si="4"/>
        <v/>
      </c>
      <c r="J75" s="32" t="str">
        <f t="shared" si="5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68"/>
      <c r="F76" s="68"/>
      <c r="G76" s="56" t="str">
        <f>IFERROR(IF(F76=0,"",E76/F76),"")</f>
        <v/>
      </c>
      <c r="H76" s="57">
        <f t="shared" si="3"/>
        <v>0.4</v>
      </c>
      <c r="I76" s="56" t="str">
        <f t="shared" si="4"/>
        <v/>
      </c>
      <c r="J76" s="32" t="str">
        <f t="shared" si="5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65"/>
      <c r="F77" s="65"/>
      <c r="G77" s="66"/>
      <c r="H77" s="57">
        <f t="shared" si="3"/>
        <v>0.4</v>
      </c>
      <c r="I77" s="56" t="str">
        <f t="shared" si="4"/>
        <v/>
      </c>
      <c r="J77" s="32" t="str">
        <f t="shared" si="5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65"/>
      <c r="F78" s="65"/>
      <c r="G78" s="66"/>
      <c r="H78" s="57">
        <f t="shared" si="3"/>
        <v>0.4</v>
      </c>
      <c r="I78" s="56" t="str">
        <f t="shared" si="4"/>
        <v/>
      </c>
      <c r="J78" s="32" t="str">
        <f t="shared" si="5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68"/>
      <c r="F79" s="68"/>
      <c r="G79" s="56" t="str">
        <f>IFERROR(IF(F79=0,"",E79/F79),"")</f>
        <v/>
      </c>
      <c r="H79" s="57">
        <f t="shared" si="3"/>
        <v>0.4</v>
      </c>
      <c r="I79" s="56" t="str">
        <f t="shared" si="4"/>
        <v/>
      </c>
      <c r="J79" s="32" t="str">
        <f t="shared" si="5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65"/>
      <c r="F80" s="65"/>
      <c r="G80" s="66"/>
      <c r="H80" s="57">
        <f t="shared" si="3"/>
        <v>0.4</v>
      </c>
      <c r="I80" s="56" t="str">
        <f t="shared" si="4"/>
        <v/>
      </c>
      <c r="J80" s="32" t="str">
        <f t="shared" si="5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65"/>
      <c r="F81" s="65"/>
      <c r="G81" s="66"/>
      <c r="H81" s="57">
        <f t="shared" si="3"/>
        <v>0.4</v>
      </c>
      <c r="I81" s="56" t="str">
        <f t="shared" si="4"/>
        <v/>
      </c>
      <c r="J81" s="32" t="str">
        <f t="shared" si="5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68"/>
      <c r="F82" s="68"/>
      <c r="G82" s="56" t="str">
        <f>IFERROR(IF(F82=0,"",E82/F82),"")</f>
        <v/>
      </c>
      <c r="H82" s="57">
        <f t="shared" si="3"/>
        <v>0.4</v>
      </c>
      <c r="I82" s="56" t="str">
        <f t="shared" si="4"/>
        <v/>
      </c>
      <c r="J82" s="32" t="str">
        <f t="shared" si="5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20" priority="2">
      <formula>AND(ISNUMBER(I23),I23&gt;=0.95)</formula>
    </cfRule>
    <cfRule type="expression" dxfId="19" priority="3">
      <formula>AND(ISNUMBER(I23),I23&gt;=0.8,I23&lt;0.95)</formula>
    </cfRule>
    <cfRule type="expression" dxfId="18" priority="4">
      <formula>AND(ISNUMBER(I23),I23&lt;0.8)</formula>
    </cfRule>
  </conditionalFormatting>
  <conditionalFormatting sqref="J23:J82">
    <cfRule type="expression" dxfId="17" priority="5">
      <formula>J23="Cumple"</formula>
    </cfRule>
    <cfRule type="expression" dxfId="16" priority="6">
      <formula>J23="En riesgo"</formula>
    </cfRule>
    <cfRule type="expression" dxfId="15" priority="7">
      <formula>J23="Crítico"</formula>
    </cfRule>
    <cfRule type="expression" dxfId="14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8E44AD"/>
  </sheetPr>
  <dimension ref="B2:J82"/>
  <sheetViews>
    <sheetView showGridLines="0" zoomScale="95" zoomScaleNormal="95" workbookViewId="0">
      <pane ySplit="22" topLeftCell="A23" activePane="bottomLeft" state="frozen"/>
      <selection pane="bottomLeft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6" width="22" customWidth="1"/>
    <col min="7" max="7" width="15" customWidth="1"/>
    <col min="8" max="8" width="12" customWidth="1"/>
    <col min="9" max="10" width="13" customWidth="1"/>
  </cols>
  <sheetData>
    <row r="2" spans="2:10" ht="27.75" customHeight="1" x14ac:dyDescent="0.35">
      <c r="B2" s="114" t="s">
        <v>309</v>
      </c>
      <c r="C2" s="72"/>
      <c r="D2" s="72"/>
      <c r="E2" s="72"/>
      <c r="F2" s="72"/>
      <c r="G2" s="72"/>
      <c r="H2" s="72"/>
      <c r="I2" s="72"/>
      <c r="J2" s="72"/>
    </row>
    <row r="3" spans="2:10" ht="18" customHeight="1" x14ac:dyDescent="0.35">
      <c r="B3" s="112" t="s">
        <v>310</v>
      </c>
      <c r="C3" s="72"/>
      <c r="D3" s="72"/>
      <c r="E3" s="72"/>
      <c r="F3" s="72"/>
      <c r="G3" s="72"/>
      <c r="H3" s="72"/>
      <c r="I3" s="72"/>
      <c r="J3" s="72"/>
    </row>
    <row r="5" spans="2:10" ht="25.5" customHeight="1" x14ac:dyDescent="0.35">
      <c r="B5" s="88" t="s">
        <v>113</v>
      </c>
      <c r="C5" s="81"/>
      <c r="D5" s="89" t="s">
        <v>196</v>
      </c>
      <c r="E5" s="80"/>
      <c r="F5" s="80"/>
      <c r="G5" s="80"/>
      <c r="H5" s="80"/>
      <c r="I5" s="80"/>
      <c r="J5" s="81"/>
    </row>
    <row r="6" spans="2:10" ht="25.5" customHeight="1" x14ac:dyDescent="0.35">
      <c r="B6" s="88" t="s">
        <v>114</v>
      </c>
      <c r="C6" s="81"/>
      <c r="D6" s="89" t="s">
        <v>197</v>
      </c>
      <c r="E6" s="80"/>
      <c r="F6" s="80"/>
      <c r="G6" s="80"/>
      <c r="H6" s="80"/>
      <c r="I6" s="80"/>
      <c r="J6" s="81"/>
    </row>
    <row r="7" spans="2:10" ht="19.5" customHeight="1" x14ac:dyDescent="0.35">
      <c r="B7" s="88" t="s">
        <v>115</v>
      </c>
      <c r="C7" s="81"/>
      <c r="D7" s="89" t="s">
        <v>139</v>
      </c>
      <c r="E7" s="80"/>
      <c r="F7" s="80"/>
      <c r="G7" s="80"/>
      <c r="H7" s="80"/>
      <c r="I7" s="80"/>
      <c r="J7" s="81"/>
    </row>
    <row r="8" spans="2:10" ht="19.5" customHeight="1" x14ac:dyDescent="0.35">
      <c r="B8" s="88" t="s">
        <v>214</v>
      </c>
      <c r="C8" s="81"/>
      <c r="D8" s="89" t="s">
        <v>140</v>
      </c>
      <c r="E8" s="80"/>
      <c r="F8" s="80"/>
      <c r="G8" s="80"/>
      <c r="H8" s="80"/>
      <c r="I8" s="80"/>
      <c r="J8" s="81"/>
    </row>
    <row r="9" spans="2:10" ht="19.5" customHeight="1" x14ac:dyDescent="0.35">
      <c r="B9" s="88" t="s">
        <v>33</v>
      </c>
      <c r="C9" s="81"/>
      <c r="D9" s="89" t="s">
        <v>69</v>
      </c>
      <c r="E9" s="80"/>
      <c r="F9" s="80"/>
      <c r="G9" s="80"/>
      <c r="H9" s="80"/>
      <c r="I9" s="80"/>
      <c r="J9" s="81"/>
    </row>
    <row r="10" spans="2:10" ht="19.5" customHeight="1" x14ac:dyDescent="0.35">
      <c r="B10" s="88" t="s">
        <v>117</v>
      </c>
      <c r="C10" s="81"/>
      <c r="D10" s="93" t="str">
        <f>VLOOKUP("IND-24",Parámetros!$B$6:$F$30,5,FALSE())</f>
        <v>Por definir</v>
      </c>
      <c r="E10" s="80"/>
      <c r="F10" s="80"/>
      <c r="G10" s="80"/>
      <c r="H10" s="80"/>
      <c r="I10" s="80"/>
      <c r="J10" s="81"/>
    </row>
    <row r="12" spans="2:10" ht="19.5" customHeight="1" x14ac:dyDescent="0.35">
      <c r="B12" s="113" t="s">
        <v>215</v>
      </c>
      <c r="C12" s="72"/>
      <c r="D12" s="72"/>
      <c r="E12" s="72"/>
      <c r="F12" s="72"/>
      <c r="G12" s="72"/>
      <c r="H12" s="72"/>
      <c r="I12" s="72"/>
      <c r="J12" s="72"/>
    </row>
    <row r="13" spans="2:10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0"/>
      <c r="J13" s="81"/>
    </row>
    <row r="14" spans="2:10" ht="19.5" customHeight="1" x14ac:dyDescent="0.35">
      <c r="B14" s="51">
        <v>2026</v>
      </c>
      <c r="C14" s="91">
        <v>1</v>
      </c>
      <c r="D14" s="81"/>
      <c r="E14" s="92"/>
      <c r="F14" s="80"/>
      <c r="G14" s="80"/>
      <c r="H14" s="80"/>
      <c r="I14" s="80"/>
      <c r="J14" s="80"/>
    </row>
    <row r="15" spans="2:10" ht="19.5" customHeight="1" x14ac:dyDescent="0.35">
      <c r="B15" s="51">
        <v>2027</v>
      </c>
      <c r="C15" s="91">
        <v>1</v>
      </c>
      <c r="D15" s="81"/>
      <c r="E15" s="92"/>
      <c r="F15" s="80"/>
      <c r="G15" s="80"/>
      <c r="H15" s="80"/>
      <c r="I15" s="80"/>
      <c r="J15" s="80"/>
    </row>
    <row r="16" spans="2:10" ht="19.5" customHeight="1" x14ac:dyDescent="0.35">
      <c r="B16" s="51">
        <v>2028</v>
      </c>
      <c r="C16" s="91">
        <v>1</v>
      </c>
      <c r="D16" s="81"/>
      <c r="E16" s="92"/>
      <c r="F16" s="80"/>
      <c r="G16" s="80"/>
      <c r="H16" s="80"/>
      <c r="I16" s="80"/>
      <c r="J16" s="80"/>
    </row>
    <row r="17" spans="2:10" ht="19.5" customHeight="1" x14ac:dyDescent="0.35">
      <c r="B17" s="51">
        <v>2029</v>
      </c>
      <c r="C17" s="91">
        <v>1</v>
      </c>
      <c r="D17" s="81"/>
      <c r="E17" s="92"/>
      <c r="F17" s="80"/>
      <c r="G17" s="80"/>
      <c r="H17" s="80"/>
      <c r="I17" s="80"/>
      <c r="J17" s="80"/>
    </row>
    <row r="18" spans="2:10" ht="19.5" customHeight="1" x14ac:dyDescent="0.35">
      <c r="B18" s="51">
        <v>2030</v>
      </c>
      <c r="C18" s="91">
        <v>1</v>
      </c>
      <c r="D18" s="81"/>
      <c r="E18" s="92"/>
      <c r="F18" s="80"/>
      <c r="G18" s="80"/>
      <c r="H18" s="80"/>
      <c r="I18" s="80"/>
      <c r="J18" s="80"/>
    </row>
    <row r="20" spans="2:10" ht="19.5" customHeight="1" x14ac:dyDescent="0.35">
      <c r="B20" s="111" t="s">
        <v>218</v>
      </c>
      <c r="C20" s="72"/>
      <c r="D20" s="72"/>
      <c r="E20" s="72"/>
      <c r="F20" s="72"/>
      <c r="G20" s="72"/>
      <c r="H20" s="72"/>
      <c r="I20" s="72"/>
      <c r="J20" s="72"/>
    </row>
    <row r="21" spans="2:10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21" t="s">
        <v>220</v>
      </c>
      <c r="C22" s="21" t="s">
        <v>208</v>
      </c>
      <c r="D22" s="21" t="s">
        <v>209</v>
      </c>
      <c r="E22" s="21" t="s">
        <v>311</v>
      </c>
      <c r="F22" s="21" t="s">
        <v>312</v>
      </c>
      <c r="G22" s="21" t="s">
        <v>223</v>
      </c>
      <c r="H22" s="21" t="s">
        <v>224</v>
      </c>
      <c r="I22" s="21" t="s">
        <v>225</v>
      </c>
      <c r="J22" s="21" t="s">
        <v>226</v>
      </c>
    </row>
    <row r="23" spans="2:10" ht="18" customHeight="1" x14ac:dyDescent="0.35">
      <c r="B23" s="52">
        <v>1</v>
      </c>
      <c r="C23" s="53">
        <v>2026</v>
      </c>
      <c r="D23" s="54" t="s">
        <v>227</v>
      </c>
      <c r="E23" s="65"/>
      <c r="F23" s="65"/>
      <c r="G23" s="66"/>
      <c r="H23" s="57">
        <f t="shared" ref="H23:H54" si="0">IFERROR(VLOOKUP(C23,$B$14:$C$18,2,FALSE()),"")</f>
        <v>1</v>
      </c>
      <c r="I23" s="56" t="str">
        <f t="shared" ref="I23:I54" si="1">IFERROR(IF(OR(G23="",NOT(ISNUMBER(H23))),"",G23/H23),"")</f>
        <v/>
      </c>
      <c r="J23" s="32" t="str">
        <f t="shared" ref="J23:J54" si="2">IFERROR(IF(I23="","Pendiente",IF(I23&gt;=0.95,"Cumple",IF(I23&gt;=0.8,"En riesgo","Crítico"))),"Pendiente")</f>
        <v>Pendiente</v>
      </c>
    </row>
    <row r="24" spans="2:10" ht="18" customHeight="1" x14ac:dyDescent="0.35">
      <c r="B24" s="52">
        <v>2</v>
      </c>
      <c r="C24" s="53">
        <v>2026</v>
      </c>
      <c r="D24" s="54" t="s">
        <v>228</v>
      </c>
      <c r="E24" s="65"/>
      <c r="F24" s="65"/>
      <c r="G24" s="66"/>
      <c r="H24" s="57">
        <f t="shared" si="0"/>
        <v>1</v>
      </c>
      <c r="I24" s="56" t="str">
        <f t="shared" si="1"/>
        <v/>
      </c>
      <c r="J24" s="32" t="str">
        <f t="shared" si="2"/>
        <v>Pendiente</v>
      </c>
    </row>
    <row r="25" spans="2:10" ht="18" customHeight="1" x14ac:dyDescent="0.35">
      <c r="B25" s="52">
        <v>3</v>
      </c>
      <c r="C25" s="53">
        <v>2026</v>
      </c>
      <c r="D25" s="54" t="s">
        <v>229</v>
      </c>
      <c r="E25" s="65"/>
      <c r="F25" s="65"/>
      <c r="G25" s="66"/>
      <c r="H25" s="57">
        <f t="shared" si="0"/>
        <v>1</v>
      </c>
      <c r="I25" s="56" t="str">
        <f t="shared" si="1"/>
        <v/>
      </c>
      <c r="J25" s="32" t="str">
        <f t="shared" si="2"/>
        <v>Pendiente</v>
      </c>
    </row>
    <row r="26" spans="2:10" ht="18" customHeight="1" x14ac:dyDescent="0.35">
      <c r="B26" s="52">
        <v>4</v>
      </c>
      <c r="C26" s="53">
        <v>2026</v>
      </c>
      <c r="D26" s="54" t="s">
        <v>230</v>
      </c>
      <c r="E26" s="65"/>
      <c r="F26" s="65"/>
      <c r="G26" s="66"/>
      <c r="H26" s="57">
        <f t="shared" si="0"/>
        <v>1</v>
      </c>
      <c r="I26" s="56" t="str">
        <f t="shared" si="1"/>
        <v/>
      </c>
      <c r="J26" s="32" t="str">
        <f t="shared" si="2"/>
        <v>Pendiente</v>
      </c>
    </row>
    <row r="27" spans="2:10" ht="18" customHeight="1" x14ac:dyDescent="0.35">
      <c r="B27" s="52">
        <v>5</v>
      </c>
      <c r="C27" s="53">
        <v>2026</v>
      </c>
      <c r="D27" s="54" t="s">
        <v>231</v>
      </c>
      <c r="E27" s="65"/>
      <c r="F27" s="65"/>
      <c r="G27" s="66"/>
      <c r="H27" s="57">
        <f t="shared" si="0"/>
        <v>1</v>
      </c>
      <c r="I27" s="56" t="str">
        <f t="shared" si="1"/>
        <v/>
      </c>
      <c r="J27" s="32" t="str">
        <f t="shared" si="2"/>
        <v>Pendiente</v>
      </c>
    </row>
    <row r="28" spans="2:10" ht="18" customHeight="1" x14ac:dyDescent="0.35">
      <c r="B28" s="52">
        <v>6</v>
      </c>
      <c r="C28" s="53">
        <v>2026</v>
      </c>
      <c r="D28" s="54" t="s">
        <v>232</v>
      </c>
      <c r="E28" s="68"/>
      <c r="F28" s="68"/>
      <c r="G28" s="56" t="str">
        <f>IFERROR(IF(F28=0,"",E28/F28),"")</f>
        <v/>
      </c>
      <c r="H28" s="57">
        <f t="shared" si="0"/>
        <v>1</v>
      </c>
      <c r="I28" s="56" t="str">
        <f t="shared" si="1"/>
        <v/>
      </c>
      <c r="J28" s="32" t="str">
        <f t="shared" si="2"/>
        <v>Pendiente</v>
      </c>
    </row>
    <row r="29" spans="2:10" ht="18" customHeight="1" x14ac:dyDescent="0.35">
      <c r="B29" s="52">
        <v>7</v>
      </c>
      <c r="C29" s="53">
        <v>2026</v>
      </c>
      <c r="D29" s="54" t="s">
        <v>233</v>
      </c>
      <c r="E29" s="65"/>
      <c r="F29" s="65"/>
      <c r="G29" s="66"/>
      <c r="H29" s="57">
        <f t="shared" si="0"/>
        <v>1</v>
      </c>
      <c r="I29" s="56" t="str">
        <f t="shared" si="1"/>
        <v/>
      </c>
      <c r="J29" s="32" t="str">
        <f t="shared" si="2"/>
        <v>Pendiente</v>
      </c>
    </row>
    <row r="30" spans="2:10" ht="18" customHeight="1" x14ac:dyDescent="0.35">
      <c r="B30" s="52">
        <v>8</v>
      </c>
      <c r="C30" s="53">
        <v>2026</v>
      </c>
      <c r="D30" s="54" t="s">
        <v>234</v>
      </c>
      <c r="E30" s="65"/>
      <c r="F30" s="65"/>
      <c r="G30" s="66"/>
      <c r="H30" s="57">
        <f t="shared" si="0"/>
        <v>1</v>
      </c>
      <c r="I30" s="56" t="str">
        <f t="shared" si="1"/>
        <v/>
      </c>
      <c r="J30" s="32" t="str">
        <f t="shared" si="2"/>
        <v>Pendiente</v>
      </c>
    </row>
    <row r="31" spans="2:10" ht="18" customHeight="1" x14ac:dyDescent="0.35">
      <c r="B31" s="52">
        <v>9</v>
      </c>
      <c r="C31" s="53">
        <v>2026</v>
      </c>
      <c r="D31" s="54" t="s">
        <v>235</v>
      </c>
      <c r="E31" s="65"/>
      <c r="F31" s="65"/>
      <c r="G31" s="66"/>
      <c r="H31" s="57">
        <f t="shared" si="0"/>
        <v>1</v>
      </c>
      <c r="I31" s="56" t="str">
        <f t="shared" si="1"/>
        <v/>
      </c>
      <c r="J31" s="32" t="str">
        <f t="shared" si="2"/>
        <v>Pendiente</v>
      </c>
    </row>
    <row r="32" spans="2:10" ht="18" customHeight="1" x14ac:dyDescent="0.35">
      <c r="B32" s="52">
        <v>10</v>
      </c>
      <c r="C32" s="53">
        <v>2026</v>
      </c>
      <c r="D32" s="54" t="s">
        <v>236</v>
      </c>
      <c r="E32" s="65"/>
      <c r="F32" s="65"/>
      <c r="G32" s="66"/>
      <c r="H32" s="57">
        <f t="shared" si="0"/>
        <v>1</v>
      </c>
      <c r="I32" s="56" t="str">
        <f t="shared" si="1"/>
        <v/>
      </c>
      <c r="J32" s="32" t="str">
        <f t="shared" si="2"/>
        <v>Pendiente</v>
      </c>
    </row>
    <row r="33" spans="2:10" ht="18" customHeight="1" x14ac:dyDescent="0.35">
      <c r="B33" s="52">
        <v>11</v>
      </c>
      <c r="C33" s="53">
        <v>2026</v>
      </c>
      <c r="D33" s="54" t="s">
        <v>237</v>
      </c>
      <c r="E33" s="65"/>
      <c r="F33" s="65"/>
      <c r="G33" s="66"/>
      <c r="H33" s="57">
        <f t="shared" si="0"/>
        <v>1</v>
      </c>
      <c r="I33" s="56" t="str">
        <f t="shared" si="1"/>
        <v/>
      </c>
      <c r="J33" s="32" t="str">
        <f t="shared" si="2"/>
        <v>Pendiente</v>
      </c>
    </row>
    <row r="34" spans="2:10" ht="18" customHeight="1" x14ac:dyDescent="0.35">
      <c r="B34" s="52">
        <v>12</v>
      </c>
      <c r="C34" s="53">
        <v>2026</v>
      </c>
      <c r="D34" s="54" t="s">
        <v>238</v>
      </c>
      <c r="E34" s="68"/>
      <c r="F34" s="68"/>
      <c r="G34" s="56" t="str">
        <f>IFERROR(IF(F34=0,"",E34/F34),"")</f>
        <v/>
      </c>
      <c r="H34" s="57">
        <f t="shared" si="0"/>
        <v>1</v>
      </c>
      <c r="I34" s="56" t="str">
        <f t="shared" si="1"/>
        <v/>
      </c>
      <c r="J34" s="32" t="str">
        <f t="shared" si="2"/>
        <v>Pendiente</v>
      </c>
    </row>
    <row r="35" spans="2:10" ht="18" customHeight="1" x14ac:dyDescent="0.35">
      <c r="B35" s="52">
        <v>13</v>
      </c>
      <c r="C35" s="53">
        <v>2027</v>
      </c>
      <c r="D35" s="54" t="s">
        <v>227</v>
      </c>
      <c r="E35" s="65"/>
      <c r="F35" s="65"/>
      <c r="G35" s="66"/>
      <c r="H35" s="57">
        <f t="shared" si="0"/>
        <v>1</v>
      </c>
      <c r="I35" s="56" t="str">
        <f t="shared" si="1"/>
        <v/>
      </c>
      <c r="J35" s="32" t="str">
        <f t="shared" si="2"/>
        <v>Pendiente</v>
      </c>
    </row>
    <row r="36" spans="2:10" ht="18" customHeight="1" x14ac:dyDescent="0.35">
      <c r="B36" s="52">
        <v>14</v>
      </c>
      <c r="C36" s="53">
        <v>2027</v>
      </c>
      <c r="D36" s="54" t="s">
        <v>228</v>
      </c>
      <c r="E36" s="65"/>
      <c r="F36" s="65"/>
      <c r="G36" s="66"/>
      <c r="H36" s="57">
        <f t="shared" si="0"/>
        <v>1</v>
      </c>
      <c r="I36" s="56" t="str">
        <f t="shared" si="1"/>
        <v/>
      </c>
      <c r="J36" s="32" t="str">
        <f t="shared" si="2"/>
        <v>Pendiente</v>
      </c>
    </row>
    <row r="37" spans="2:10" ht="18" customHeight="1" x14ac:dyDescent="0.35">
      <c r="B37" s="52">
        <v>15</v>
      </c>
      <c r="C37" s="53">
        <v>2027</v>
      </c>
      <c r="D37" s="54" t="s">
        <v>229</v>
      </c>
      <c r="E37" s="65"/>
      <c r="F37" s="65"/>
      <c r="G37" s="66"/>
      <c r="H37" s="57">
        <f t="shared" si="0"/>
        <v>1</v>
      </c>
      <c r="I37" s="56" t="str">
        <f t="shared" si="1"/>
        <v/>
      </c>
      <c r="J37" s="32" t="str">
        <f t="shared" si="2"/>
        <v>Pendiente</v>
      </c>
    </row>
    <row r="38" spans="2:10" ht="18" customHeight="1" x14ac:dyDescent="0.35">
      <c r="B38" s="52">
        <v>16</v>
      </c>
      <c r="C38" s="53">
        <v>2027</v>
      </c>
      <c r="D38" s="54" t="s">
        <v>230</v>
      </c>
      <c r="E38" s="65"/>
      <c r="F38" s="65"/>
      <c r="G38" s="66"/>
      <c r="H38" s="57">
        <f t="shared" si="0"/>
        <v>1</v>
      </c>
      <c r="I38" s="56" t="str">
        <f t="shared" si="1"/>
        <v/>
      </c>
      <c r="J38" s="32" t="str">
        <f t="shared" si="2"/>
        <v>Pendiente</v>
      </c>
    </row>
    <row r="39" spans="2:10" ht="18" customHeight="1" x14ac:dyDescent="0.35">
      <c r="B39" s="52">
        <v>17</v>
      </c>
      <c r="C39" s="53">
        <v>2027</v>
      </c>
      <c r="D39" s="54" t="s">
        <v>231</v>
      </c>
      <c r="E39" s="65"/>
      <c r="F39" s="65"/>
      <c r="G39" s="66"/>
      <c r="H39" s="57">
        <f t="shared" si="0"/>
        <v>1</v>
      </c>
      <c r="I39" s="56" t="str">
        <f t="shared" si="1"/>
        <v/>
      </c>
      <c r="J39" s="32" t="str">
        <f t="shared" si="2"/>
        <v>Pendiente</v>
      </c>
    </row>
    <row r="40" spans="2:10" ht="18" customHeight="1" x14ac:dyDescent="0.35">
      <c r="B40" s="52">
        <v>18</v>
      </c>
      <c r="C40" s="53">
        <v>2027</v>
      </c>
      <c r="D40" s="54" t="s">
        <v>232</v>
      </c>
      <c r="E40" s="68"/>
      <c r="F40" s="68"/>
      <c r="G40" s="56" t="str">
        <f>IFERROR(IF(F40=0,"",E40/F40),"")</f>
        <v/>
      </c>
      <c r="H40" s="57">
        <f t="shared" si="0"/>
        <v>1</v>
      </c>
      <c r="I40" s="56" t="str">
        <f t="shared" si="1"/>
        <v/>
      </c>
      <c r="J40" s="32" t="str">
        <f t="shared" si="2"/>
        <v>Pendiente</v>
      </c>
    </row>
    <row r="41" spans="2:10" ht="18" customHeight="1" x14ac:dyDescent="0.35">
      <c r="B41" s="52">
        <v>19</v>
      </c>
      <c r="C41" s="53">
        <v>2027</v>
      </c>
      <c r="D41" s="54" t="s">
        <v>233</v>
      </c>
      <c r="E41" s="65"/>
      <c r="F41" s="65"/>
      <c r="G41" s="66"/>
      <c r="H41" s="57">
        <f t="shared" si="0"/>
        <v>1</v>
      </c>
      <c r="I41" s="56" t="str">
        <f t="shared" si="1"/>
        <v/>
      </c>
      <c r="J41" s="32" t="str">
        <f t="shared" si="2"/>
        <v>Pendiente</v>
      </c>
    </row>
    <row r="42" spans="2:10" ht="18" customHeight="1" x14ac:dyDescent="0.35">
      <c r="B42" s="52">
        <v>20</v>
      </c>
      <c r="C42" s="53">
        <v>2027</v>
      </c>
      <c r="D42" s="54" t="s">
        <v>234</v>
      </c>
      <c r="E42" s="65"/>
      <c r="F42" s="65"/>
      <c r="G42" s="66"/>
      <c r="H42" s="57">
        <f t="shared" si="0"/>
        <v>1</v>
      </c>
      <c r="I42" s="56" t="str">
        <f t="shared" si="1"/>
        <v/>
      </c>
      <c r="J42" s="32" t="str">
        <f t="shared" si="2"/>
        <v>Pendiente</v>
      </c>
    </row>
    <row r="43" spans="2:10" ht="18" customHeight="1" x14ac:dyDescent="0.35">
      <c r="B43" s="52">
        <v>21</v>
      </c>
      <c r="C43" s="53">
        <v>2027</v>
      </c>
      <c r="D43" s="54" t="s">
        <v>235</v>
      </c>
      <c r="E43" s="65"/>
      <c r="F43" s="65"/>
      <c r="G43" s="66"/>
      <c r="H43" s="57">
        <f t="shared" si="0"/>
        <v>1</v>
      </c>
      <c r="I43" s="56" t="str">
        <f t="shared" si="1"/>
        <v/>
      </c>
      <c r="J43" s="32" t="str">
        <f t="shared" si="2"/>
        <v>Pendiente</v>
      </c>
    </row>
    <row r="44" spans="2:10" ht="18" customHeight="1" x14ac:dyDescent="0.35">
      <c r="B44" s="52">
        <v>22</v>
      </c>
      <c r="C44" s="53">
        <v>2027</v>
      </c>
      <c r="D44" s="54" t="s">
        <v>236</v>
      </c>
      <c r="E44" s="65"/>
      <c r="F44" s="65"/>
      <c r="G44" s="66"/>
      <c r="H44" s="57">
        <f t="shared" si="0"/>
        <v>1</v>
      </c>
      <c r="I44" s="56" t="str">
        <f t="shared" si="1"/>
        <v/>
      </c>
      <c r="J44" s="32" t="str">
        <f t="shared" si="2"/>
        <v>Pendiente</v>
      </c>
    </row>
    <row r="45" spans="2:10" ht="18" customHeight="1" x14ac:dyDescent="0.35">
      <c r="B45" s="52">
        <v>23</v>
      </c>
      <c r="C45" s="53">
        <v>2027</v>
      </c>
      <c r="D45" s="54" t="s">
        <v>237</v>
      </c>
      <c r="E45" s="65"/>
      <c r="F45" s="65"/>
      <c r="G45" s="66"/>
      <c r="H45" s="57">
        <f t="shared" si="0"/>
        <v>1</v>
      </c>
      <c r="I45" s="56" t="str">
        <f t="shared" si="1"/>
        <v/>
      </c>
      <c r="J45" s="32" t="str">
        <f t="shared" si="2"/>
        <v>Pendiente</v>
      </c>
    </row>
    <row r="46" spans="2:10" ht="18" customHeight="1" x14ac:dyDescent="0.35">
      <c r="B46" s="52">
        <v>24</v>
      </c>
      <c r="C46" s="53">
        <v>2027</v>
      </c>
      <c r="D46" s="54" t="s">
        <v>238</v>
      </c>
      <c r="E46" s="68"/>
      <c r="F46" s="68"/>
      <c r="G46" s="56" t="str">
        <f>IFERROR(IF(F46=0,"",E46/F46),"")</f>
        <v/>
      </c>
      <c r="H46" s="57">
        <f t="shared" si="0"/>
        <v>1</v>
      </c>
      <c r="I46" s="56" t="str">
        <f t="shared" si="1"/>
        <v/>
      </c>
      <c r="J46" s="32" t="str">
        <f t="shared" si="2"/>
        <v>Pendiente</v>
      </c>
    </row>
    <row r="47" spans="2:10" ht="18" customHeight="1" x14ac:dyDescent="0.35">
      <c r="B47" s="52">
        <v>25</v>
      </c>
      <c r="C47" s="53">
        <v>2028</v>
      </c>
      <c r="D47" s="54" t="s">
        <v>227</v>
      </c>
      <c r="E47" s="65"/>
      <c r="F47" s="65"/>
      <c r="G47" s="66"/>
      <c r="H47" s="57">
        <f t="shared" si="0"/>
        <v>1</v>
      </c>
      <c r="I47" s="56" t="str">
        <f t="shared" si="1"/>
        <v/>
      </c>
      <c r="J47" s="32" t="str">
        <f t="shared" si="2"/>
        <v>Pendiente</v>
      </c>
    </row>
    <row r="48" spans="2:10" ht="18" customHeight="1" x14ac:dyDescent="0.35">
      <c r="B48" s="52">
        <v>26</v>
      </c>
      <c r="C48" s="53">
        <v>2028</v>
      </c>
      <c r="D48" s="54" t="s">
        <v>228</v>
      </c>
      <c r="E48" s="65"/>
      <c r="F48" s="65"/>
      <c r="G48" s="66"/>
      <c r="H48" s="57">
        <f t="shared" si="0"/>
        <v>1</v>
      </c>
      <c r="I48" s="56" t="str">
        <f t="shared" si="1"/>
        <v/>
      </c>
      <c r="J48" s="32" t="str">
        <f t="shared" si="2"/>
        <v>Pendiente</v>
      </c>
    </row>
    <row r="49" spans="2:10" ht="18" customHeight="1" x14ac:dyDescent="0.35">
      <c r="B49" s="52">
        <v>27</v>
      </c>
      <c r="C49" s="53">
        <v>2028</v>
      </c>
      <c r="D49" s="54" t="s">
        <v>229</v>
      </c>
      <c r="E49" s="65"/>
      <c r="F49" s="65"/>
      <c r="G49" s="66"/>
      <c r="H49" s="57">
        <f t="shared" si="0"/>
        <v>1</v>
      </c>
      <c r="I49" s="56" t="str">
        <f t="shared" si="1"/>
        <v/>
      </c>
      <c r="J49" s="32" t="str">
        <f t="shared" si="2"/>
        <v>Pendiente</v>
      </c>
    </row>
    <row r="50" spans="2:10" ht="18" customHeight="1" x14ac:dyDescent="0.35">
      <c r="B50" s="52">
        <v>28</v>
      </c>
      <c r="C50" s="53">
        <v>2028</v>
      </c>
      <c r="D50" s="54" t="s">
        <v>230</v>
      </c>
      <c r="E50" s="65"/>
      <c r="F50" s="65"/>
      <c r="G50" s="66"/>
      <c r="H50" s="57">
        <f t="shared" si="0"/>
        <v>1</v>
      </c>
      <c r="I50" s="56" t="str">
        <f t="shared" si="1"/>
        <v/>
      </c>
      <c r="J50" s="32" t="str">
        <f t="shared" si="2"/>
        <v>Pendiente</v>
      </c>
    </row>
    <row r="51" spans="2:10" ht="18" customHeight="1" x14ac:dyDescent="0.35">
      <c r="B51" s="52">
        <v>29</v>
      </c>
      <c r="C51" s="53">
        <v>2028</v>
      </c>
      <c r="D51" s="54" t="s">
        <v>231</v>
      </c>
      <c r="E51" s="65"/>
      <c r="F51" s="65"/>
      <c r="G51" s="66"/>
      <c r="H51" s="57">
        <f t="shared" si="0"/>
        <v>1</v>
      </c>
      <c r="I51" s="56" t="str">
        <f t="shared" si="1"/>
        <v/>
      </c>
      <c r="J51" s="32" t="str">
        <f t="shared" si="2"/>
        <v>Pendiente</v>
      </c>
    </row>
    <row r="52" spans="2:10" ht="18" customHeight="1" x14ac:dyDescent="0.35">
      <c r="B52" s="52">
        <v>30</v>
      </c>
      <c r="C52" s="53">
        <v>2028</v>
      </c>
      <c r="D52" s="54" t="s">
        <v>232</v>
      </c>
      <c r="E52" s="68"/>
      <c r="F52" s="68"/>
      <c r="G52" s="56" t="str">
        <f>IFERROR(IF(F52=0,"",E52/F52),"")</f>
        <v/>
      </c>
      <c r="H52" s="57">
        <f t="shared" si="0"/>
        <v>1</v>
      </c>
      <c r="I52" s="56" t="str">
        <f t="shared" si="1"/>
        <v/>
      </c>
      <c r="J52" s="32" t="str">
        <f t="shared" si="2"/>
        <v>Pendiente</v>
      </c>
    </row>
    <row r="53" spans="2:10" ht="18" customHeight="1" x14ac:dyDescent="0.35">
      <c r="B53" s="52">
        <v>31</v>
      </c>
      <c r="C53" s="53">
        <v>2028</v>
      </c>
      <c r="D53" s="54" t="s">
        <v>233</v>
      </c>
      <c r="E53" s="65"/>
      <c r="F53" s="65"/>
      <c r="G53" s="66"/>
      <c r="H53" s="57">
        <f t="shared" si="0"/>
        <v>1</v>
      </c>
      <c r="I53" s="56" t="str">
        <f t="shared" si="1"/>
        <v/>
      </c>
      <c r="J53" s="32" t="str">
        <f t="shared" si="2"/>
        <v>Pendiente</v>
      </c>
    </row>
    <row r="54" spans="2:10" ht="18" customHeight="1" x14ac:dyDescent="0.35">
      <c r="B54" s="52">
        <v>32</v>
      </c>
      <c r="C54" s="53">
        <v>2028</v>
      </c>
      <c r="D54" s="54" t="s">
        <v>234</v>
      </c>
      <c r="E54" s="65"/>
      <c r="F54" s="65"/>
      <c r="G54" s="66"/>
      <c r="H54" s="57">
        <f t="shared" si="0"/>
        <v>1</v>
      </c>
      <c r="I54" s="56" t="str">
        <f t="shared" si="1"/>
        <v/>
      </c>
      <c r="J54" s="32" t="str">
        <f t="shared" si="2"/>
        <v>Pendiente</v>
      </c>
    </row>
    <row r="55" spans="2:10" ht="18" customHeight="1" x14ac:dyDescent="0.35">
      <c r="B55" s="52">
        <v>33</v>
      </c>
      <c r="C55" s="53">
        <v>2028</v>
      </c>
      <c r="D55" s="54" t="s">
        <v>235</v>
      </c>
      <c r="E55" s="65"/>
      <c r="F55" s="65"/>
      <c r="G55" s="66"/>
      <c r="H55" s="57">
        <f t="shared" ref="H55:H82" si="3">IFERROR(VLOOKUP(C55,$B$14:$C$18,2,FALSE()),"")</f>
        <v>1</v>
      </c>
      <c r="I55" s="56" t="str">
        <f t="shared" ref="I55:I86" si="4">IFERROR(IF(OR(G55="",NOT(ISNUMBER(H55))),"",G55/H55),"")</f>
        <v/>
      </c>
      <c r="J55" s="32" t="str">
        <f t="shared" ref="J55:J86" si="5">IFERROR(IF(I55="","Pendiente",IF(I55&gt;=0.95,"Cumple",IF(I55&gt;=0.8,"En riesgo","Crítico"))),"Pendiente")</f>
        <v>Pendiente</v>
      </c>
    </row>
    <row r="56" spans="2:10" ht="18" customHeight="1" x14ac:dyDescent="0.35">
      <c r="B56" s="52">
        <v>34</v>
      </c>
      <c r="C56" s="53">
        <v>2028</v>
      </c>
      <c r="D56" s="54" t="s">
        <v>236</v>
      </c>
      <c r="E56" s="65"/>
      <c r="F56" s="65"/>
      <c r="G56" s="66"/>
      <c r="H56" s="57">
        <f t="shared" si="3"/>
        <v>1</v>
      </c>
      <c r="I56" s="56" t="str">
        <f t="shared" si="4"/>
        <v/>
      </c>
      <c r="J56" s="32" t="str">
        <f t="shared" si="5"/>
        <v>Pendiente</v>
      </c>
    </row>
    <row r="57" spans="2:10" ht="18" customHeight="1" x14ac:dyDescent="0.35">
      <c r="B57" s="52">
        <v>35</v>
      </c>
      <c r="C57" s="53">
        <v>2028</v>
      </c>
      <c r="D57" s="54" t="s">
        <v>237</v>
      </c>
      <c r="E57" s="65"/>
      <c r="F57" s="65"/>
      <c r="G57" s="66"/>
      <c r="H57" s="57">
        <f t="shared" si="3"/>
        <v>1</v>
      </c>
      <c r="I57" s="56" t="str">
        <f t="shared" si="4"/>
        <v/>
      </c>
      <c r="J57" s="32" t="str">
        <f t="shared" si="5"/>
        <v>Pendiente</v>
      </c>
    </row>
    <row r="58" spans="2:10" ht="18" customHeight="1" x14ac:dyDescent="0.35">
      <c r="B58" s="52">
        <v>36</v>
      </c>
      <c r="C58" s="53">
        <v>2028</v>
      </c>
      <c r="D58" s="54" t="s">
        <v>238</v>
      </c>
      <c r="E58" s="68"/>
      <c r="F58" s="68"/>
      <c r="G58" s="56" t="str">
        <f>IFERROR(IF(F58=0,"",E58/F58),"")</f>
        <v/>
      </c>
      <c r="H58" s="57">
        <f t="shared" si="3"/>
        <v>1</v>
      </c>
      <c r="I58" s="56" t="str">
        <f t="shared" si="4"/>
        <v/>
      </c>
      <c r="J58" s="32" t="str">
        <f t="shared" si="5"/>
        <v>Pendiente</v>
      </c>
    </row>
    <row r="59" spans="2:10" ht="18" customHeight="1" x14ac:dyDescent="0.35">
      <c r="B59" s="52">
        <v>37</v>
      </c>
      <c r="C59" s="53">
        <v>2029</v>
      </c>
      <c r="D59" s="54" t="s">
        <v>227</v>
      </c>
      <c r="E59" s="65"/>
      <c r="F59" s="65"/>
      <c r="G59" s="66"/>
      <c r="H59" s="57">
        <f t="shared" si="3"/>
        <v>1</v>
      </c>
      <c r="I59" s="56" t="str">
        <f t="shared" si="4"/>
        <v/>
      </c>
      <c r="J59" s="32" t="str">
        <f t="shared" si="5"/>
        <v>Pendiente</v>
      </c>
    </row>
    <row r="60" spans="2:10" ht="18" customHeight="1" x14ac:dyDescent="0.35">
      <c r="B60" s="52">
        <v>38</v>
      </c>
      <c r="C60" s="53">
        <v>2029</v>
      </c>
      <c r="D60" s="54" t="s">
        <v>228</v>
      </c>
      <c r="E60" s="65"/>
      <c r="F60" s="65"/>
      <c r="G60" s="66"/>
      <c r="H60" s="57">
        <f t="shared" si="3"/>
        <v>1</v>
      </c>
      <c r="I60" s="56" t="str">
        <f t="shared" si="4"/>
        <v/>
      </c>
      <c r="J60" s="32" t="str">
        <f t="shared" si="5"/>
        <v>Pendiente</v>
      </c>
    </row>
    <row r="61" spans="2:10" ht="18" customHeight="1" x14ac:dyDescent="0.35">
      <c r="B61" s="52">
        <v>39</v>
      </c>
      <c r="C61" s="53">
        <v>2029</v>
      </c>
      <c r="D61" s="54" t="s">
        <v>229</v>
      </c>
      <c r="E61" s="65"/>
      <c r="F61" s="65"/>
      <c r="G61" s="66"/>
      <c r="H61" s="57">
        <f t="shared" si="3"/>
        <v>1</v>
      </c>
      <c r="I61" s="56" t="str">
        <f t="shared" si="4"/>
        <v/>
      </c>
      <c r="J61" s="32" t="str">
        <f t="shared" si="5"/>
        <v>Pendiente</v>
      </c>
    </row>
    <row r="62" spans="2:10" ht="18" customHeight="1" x14ac:dyDescent="0.35">
      <c r="B62" s="52">
        <v>40</v>
      </c>
      <c r="C62" s="53">
        <v>2029</v>
      </c>
      <c r="D62" s="54" t="s">
        <v>230</v>
      </c>
      <c r="E62" s="65"/>
      <c r="F62" s="65"/>
      <c r="G62" s="66"/>
      <c r="H62" s="57">
        <f t="shared" si="3"/>
        <v>1</v>
      </c>
      <c r="I62" s="56" t="str">
        <f t="shared" si="4"/>
        <v/>
      </c>
      <c r="J62" s="32" t="str">
        <f t="shared" si="5"/>
        <v>Pendiente</v>
      </c>
    </row>
    <row r="63" spans="2:10" ht="18" customHeight="1" x14ac:dyDescent="0.35">
      <c r="B63" s="52">
        <v>41</v>
      </c>
      <c r="C63" s="53">
        <v>2029</v>
      </c>
      <c r="D63" s="54" t="s">
        <v>231</v>
      </c>
      <c r="E63" s="65"/>
      <c r="F63" s="65"/>
      <c r="G63" s="66"/>
      <c r="H63" s="57">
        <f t="shared" si="3"/>
        <v>1</v>
      </c>
      <c r="I63" s="56" t="str">
        <f t="shared" si="4"/>
        <v/>
      </c>
      <c r="J63" s="32" t="str">
        <f t="shared" si="5"/>
        <v>Pendiente</v>
      </c>
    </row>
    <row r="64" spans="2:10" ht="18" customHeight="1" x14ac:dyDescent="0.35">
      <c r="B64" s="52">
        <v>42</v>
      </c>
      <c r="C64" s="53">
        <v>2029</v>
      </c>
      <c r="D64" s="54" t="s">
        <v>232</v>
      </c>
      <c r="E64" s="68"/>
      <c r="F64" s="68"/>
      <c r="G64" s="56" t="str">
        <f>IFERROR(IF(F64=0,"",E64/F64),"")</f>
        <v/>
      </c>
      <c r="H64" s="57">
        <f t="shared" si="3"/>
        <v>1</v>
      </c>
      <c r="I64" s="56" t="str">
        <f t="shared" si="4"/>
        <v/>
      </c>
      <c r="J64" s="32" t="str">
        <f t="shared" si="5"/>
        <v>Pendiente</v>
      </c>
    </row>
    <row r="65" spans="2:10" ht="18" customHeight="1" x14ac:dyDescent="0.35">
      <c r="B65" s="52">
        <v>43</v>
      </c>
      <c r="C65" s="53">
        <v>2029</v>
      </c>
      <c r="D65" s="54" t="s">
        <v>233</v>
      </c>
      <c r="E65" s="65"/>
      <c r="F65" s="65"/>
      <c r="G65" s="66"/>
      <c r="H65" s="57">
        <f t="shared" si="3"/>
        <v>1</v>
      </c>
      <c r="I65" s="56" t="str">
        <f t="shared" si="4"/>
        <v/>
      </c>
      <c r="J65" s="32" t="str">
        <f t="shared" si="5"/>
        <v>Pendiente</v>
      </c>
    </row>
    <row r="66" spans="2:10" ht="18" customHeight="1" x14ac:dyDescent="0.35">
      <c r="B66" s="52">
        <v>44</v>
      </c>
      <c r="C66" s="53">
        <v>2029</v>
      </c>
      <c r="D66" s="54" t="s">
        <v>234</v>
      </c>
      <c r="E66" s="65"/>
      <c r="F66" s="65"/>
      <c r="G66" s="66"/>
      <c r="H66" s="57">
        <f t="shared" si="3"/>
        <v>1</v>
      </c>
      <c r="I66" s="56" t="str">
        <f t="shared" si="4"/>
        <v/>
      </c>
      <c r="J66" s="32" t="str">
        <f t="shared" si="5"/>
        <v>Pendiente</v>
      </c>
    </row>
    <row r="67" spans="2:10" ht="18" customHeight="1" x14ac:dyDescent="0.35">
      <c r="B67" s="52">
        <v>45</v>
      </c>
      <c r="C67" s="53">
        <v>2029</v>
      </c>
      <c r="D67" s="54" t="s">
        <v>235</v>
      </c>
      <c r="E67" s="65"/>
      <c r="F67" s="65"/>
      <c r="G67" s="66"/>
      <c r="H67" s="57">
        <f t="shared" si="3"/>
        <v>1</v>
      </c>
      <c r="I67" s="56" t="str">
        <f t="shared" si="4"/>
        <v/>
      </c>
      <c r="J67" s="32" t="str">
        <f t="shared" si="5"/>
        <v>Pendiente</v>
      </c>
    </row>
    <row r="68" spans="2:10" ht="18" customHeight="1" x14ac:dyDescent="0.35">
      <c r="B68" s="52">
        <v>46</v>
      </c>
      <c r="C68" s="53">
        <v>2029</v>
      </c>
      <c r="D68" s="54" t="s">
        <v>236</v>
      </c>
      <c r="E68" s="65"/>
      <c r="F68" s="65"/>
      <c r="G68" s="66"/>
      <c r="H68" s="57">
        <f t="shared" si="3"/>
        <v>1</v>
      </c>
      <c r="I68" s="56" t="str">
        <f t="shared" si="4"/>
        <v/>
      </c>
      <c r="J68" s="32" t="str">
        <f t="shared" si="5"/>
        <v>Pendiente</v>
      </c>
    </row>
    <row r="69" spans="2:10" ht="18" customHeight="1" x14ac:dyDescent="0.35">
      <c r="B69" s="52">
        <v>47</v>
      </c>
      <c r="C69" s="53">
        <v>2029</v>
      </c>
      <c r="D69" s="54" t="s">
        <v>237</v>
      </c>
      <c r="E69" s="65"/>
      <c r="F69" s="65"/>
      <c r="G69" s="66"/>
      <c r="H69" s="57">
        <f t="shared" si="3"/>
        <v>1</v>
      </c>
      <c r="I69" s="56" t="str">
        <f t="shared" si="4"/>
        <v/>
      </c>
      <c r="J69" s="32" t="str">
        <f t="shared" si="5"/>
        <v>Pendiente</v>
      </c>
    </row>
    <row r="70" spans="2:10" ht="18" customHeight="1" x14ac:dyDescent="0.35">
      <c r="B70" s="52">
        <v>48</v>
      </c>
      <c r="C70" s="53">
        <v>2029</v>
      </c>
      <c r="D70" s="54" t="s">
        <v>238</v>
      </c>
      <c r="E70" s="68"/>
      <c r="F70" s="68"/>
      <c r="G70" s="56" t="str">
        <f>IFERROR(IF(F70=0,"",E70/F70),"")</f>
        <v/>
      </c>
      <c r="H70" s="57">
        <f t="shared" si="3"/>
        <v>1</v>
      </c>
      <c r="I70" s="56" t="str">
        <f t="shared" si="4"/>
        <v/>
      </c>
      <c r="J70" s="32" t="str">
        <f t="shared" si="5"/>
        <v>Pendiente</v>
      </c>
    </row>
    <row r="71" spans="2:10" ht="18" customHeight="1" x14ac:dyDescent="0.35">
      <c r="B71" s="52">
        <v>49</v>
      </c>
      <c r="C71" s="53">
        <v>2030</v>
      </c>
      <c r="D71" s="54" t="s">
        <v>227</v>
      </c>
      <c r="E71" s="65"/>
      <c r="F71" s="65"/>
      <c r="G71" s="66"/>
      <c r="H71" s="57">
        <f t="shared" si="3"/>
        <v>1</v>
      </c>
      <c r="I71" s="56" t="str">
        <f t="shared" si="4"/>
        <v/>
      </c>
      <c r="J71" s="32" t="str">
        <f t="shared" si="5"/>
        <v>Pendiente</v>
      </c>
    </row>
    <row r="72" spans="2:10" ht="18" customHeight="1" x14ac:dyDescent="0.35">
      <c r="B72" s="52">
        <v>50</v>
      </c>
      <c r="C72" s="53">
        <v>2030</v>
      </c>
      <c r="D72" s="54" t="s">
        <v>228</v>
      </c>
      <c r="E72" s="65"/>
      <c r="F72" s="65"/>
      <c r="G72" s="66"/>
      <c r="H72" s="57">
        <f t="shared" si="3"/>
        <v>1</v>
      </c>
      <c r="I72" s="56" t="str">
        <f t="shared" si="4"/>
        <v/>
      </c>
      <c r="J72" s="32" t="str">
        <f t="shared" si="5"/>
        <v>Pendiente</v>
      </c>
    </row>
    <row r="73" spans="2:10" ht="18" customHeight="1" x14ac:dyDescent="0.35">
      <c r="B73" s="52">
        <v>51</v>
      </c>
      <c r="C73" s="53">
        <v>2030</v>
      </c>
      <c r="D73" s="54" t="s">
        <v>229</v>
      </c>
      <c r="E73" s="65"/>
      <c r="F73" s="65"/>
      <c r="G73" s="66"/>
      <c r="H73" s="57">
        <f t="shared" si="3"/>
        <v>1</v>
      </c>
      <c r="I73" s="56" t="str">
        <f t="shared" si="4"/>
        <v/>
      </c>
      <c r="J73" s="32" t="str">
        <f t="shared" si="5"/>
        <v>Pendiente</v>
      </c>
    </row>
    <row r="74" spans="2:10" ht="18" customHeight="1" x14ac:dyDescent="0.35">
      <c r="B74" s="52">
        <v>52</v>
      </c>
      <c r="C74" s="53">
        <v>2030</v>
      </c>
      <c r="D74" s="54" t="s">
        <v>230</v>
      </c>
      <c r="E74" s="65"/>
      <c r="F74" s="65"/>
      <c r="G74" s="66"/>
      <c r="H74" s="57">
        <f t="shared" si="3"/>
        <v>1</v>
      </c>
      <c r="I74" s="56" t="str">
        <f t="shared" si="4"/>
        <v/>
      </c>
      <c r="J74" s="32" t="str">
        <f t="shared" si="5"/>
        <v>Pendiente</v>
      </c>
    </row>
    <row r="75" spans="2:10" ht="18" customHeight="1" x14ac:dyDescent="0.35">
      <c r="B75" s="52">
        <v>53</v>
      </c>
      <c r="C75" s="53">
        <v>2030</v>
      </c>
      <c r="D75" s="54" t="s">
        <v>231</v>
      </c>
      <c r="E75" s="65"/>
      <c r="F75" s="65"/>
      <c r="G75" s="66"/>
      <c r="H75" s="57">
        <f t="shared" si="3"/>
        <v>1</v>
      </c>
      <c r="I75" s="56" t="str">
        <f t="shared" si="4"/>
        <v/>
      </c>
      <c r="J75" s="32" t="str">
        <f t="shared" si="5"/>
        <v>Pendiente</v>
      </c>
    </row>
    <row r="76" spans="2:10" ht="18" customHeight="1" x14ac:dyDescent="0.35">
      <c r="B76" s="52">
        <v>54</v>
      </c>
      <c r="C76" s="53">
        <v>2030</v>
      </c>
      <c r="D76" s="54" t="s">
        <v>232</v>
      </c>
      <c r="E76" s="68"/>
      <c r="F76" s="68"/>
      <c r="G76" s="56" t="str">
        <f>IFERROR(IF(F76=0,"",E76/F76),"")</f>
        <v/>
      </c>
      <c r="H76" s="57">
        <f t="shared" si="3"/>
        <v>1</v>
      </c>
      <c r="I76" s="56" t="str">
        <f t="shared" si="4"/>
        <v/>
      </c>
      <c r="J76" s="32" t="str">
        <f t="shared" si="5"/>
        <v>Pendiente</v>
      </c>
    </row>
    <row r="77" spans="2:10" ht="18" customHeight="1" x14ac:dyDescent="0.35">
      <c r="B77" s="52">
        <v>55</v>
      </c>
      <c r="C77" s="53">
        <v>2030</v>
      </c>
      <c r="D77" s="54" t="s">
        <v>233</v>
      </c>
      <c r="E77" s="65"/>
      <c r="F77" s="65"/>
      <c r="G77" s="66"/>
      <c r="H77" s="57">
        <f t="shared" si="3"/>
        <v>1</v>
      </c>
      <c r="I77" s="56" t="str">
        <f t="shared" si="4"/>
        <v/>
      </c>
      <c r="J77" s="32" t="str">
        <f t="shared" si="5"/>
        <v>Pendiente</v>
      </c>
    </row>
    <row r="78" spans="2:10" ht="18" customHeight="1" x14ac:dyDescent="0.35">
      <c r="B78" s="52">
        <v>56</v>
      </c>
      <c r="C78" s="53">
        <v>2030</v>
      </c>
      <c r="D78" s="54" t="s">
        <v>234</v>
      </c>
      <c r="E78" s="65"/>
      <c r="F78" s="65"/>
      <c r="G78" s="66"/>
      <c r="H78" s="57">
        <f t="shared" si="3"/>
        <v>1</v>
      </c>
      <c r="I78" s="56" t="str">
        <f t="shared" si="4"/>
        <v/>
      </c>
      <c r="J78" s="32" t="str">
        <f t="shared" si="5"/>
        <v>Pendiente</v>
      </c>
    </row>
    <row r="79" spans="2:10" ht="18" customHeight="1" x14ac:dyDescent="0.35">
      <c r="B79" s="52">
        <v>57</v>
      </c>
      <c r="C79" s="53">
        <v>2030</v>
      </c>
      <c r="D79" s="54" t="s">
        <v>235</v>
      </c>
      <c r="E79" s="65"/>
      <c r="F79" s="65"/>
      <c r="G79" s="66"/>
      <c r="H79" s="57">
        <f t="shared" si="3"/>
        <v>1</v>
      </c>
      <c r="I79" s="56" t="str">
        <f t="shared" si="4"/>
        <v/>
      </c>
      <c r="J79" s="32" t="str">
        <f t="shared" si="5"/>
        <v>Pendiente</v>
      </c>
    </row>
    <row r="80" spans="2:10" ht="18" customHeight="1" x14ac:dyDescent="0.35">
      <c r="B80" s="52">
        <v>58</v>
      </c>
      <c r="C80" s="53">
        <v>2030</v>
      </c>
      <c r="D80" s="54" t="s">
        <v>236</v>
      </c>
      <c r="E80" s="65"/>
      <c r="F80" s="65"/>
      <c r="G80" s="66"/>
      <c r="H80" s="57">
        <f t="shared" si="3"/>
        <v>1</v>
      </c>
      <c r="I80" s="56" t="str">
        <f t="shared" si="4"/>
        <v/>
      </c>
      <c r="J80" s="32" t="str">
        <f t="shared" si="5"/>
        <v>Pendiente</v>
      </c>
    </row>
    <row r="81" spans="2:10" ht="18" customHeight="1" x14ac:dyDescent="0.35">
      <c r="B81" s="52">
        <v>59</v>
      </c>
      <c r="C81" s="53">
        <v>2030</v>
      </c>
      <c r="D81" s="54" t="s">
        <v>237</v>
      </c>
      <c r="E81" s="65"/>
      <c r="F81" s="65"/>
      <c r="G81" s="66"/>
      <c r="H81" s="57">
        <f t="shared" si="3"/>
        <v>1</v>
      </c>
      <c r="I81" s="56" t="str">
        <f t="shared" si="4"/>
        <v/>
      </c>
      <c r="J81" s="32" t="str">
        <f t="shared" si="5"/>
        <v>Pendiente</v>
      </c>
    </row>
    <row r="82" spans="2:10" ht="18" customHeight="1" x14ac:dyDescent="0.35">
      <c r="B82" s="52">
        <v>60</v>
      </c>
      <c r="C82" s="53">
        <v>2030</v>
      </c>
      <c r="D82" s="54" t="s">
        <v>238</v>
      </c>
      <c r="E82" s="68"/>
      <c r="F82" s="68"/>
      <c r="G82" s="56" t="str">
        <f>IFERROR(IF(F82=0,"",E82/F82),"")</f>
        <v/>
      </c>
      <c r="H82" s="57">
        <f t="shared" si="3"/>
        <v>1</v>
      </c>
      <c r="I82" s="56" t="str">
        <f t="shared" si="4"/>
        <v/>
      </c>
      <c r="J82" s="32" t="str">
        <f t="shared" si="5"/>
        <v>Pendiente</v>
      </c>
    </row>
  </sheetData>
  <mergeCells count="29">
    <mergeCell ref="B21:J21"/>
    <mergeCell ref="B2:J2"/>
    <mergeCell ref="B3:J3"/>
    <mergeCell ref="B5:C5"/>
    <mergeCell ref="E14:J14"/>
    <mergeCell ref="D7:J7"/>
    <mergeCell ref="E17:J17"/>
    <mergeCell ref="C13:D13"/>
    <mergeCell ref="B12:J12"/>
    <mergeCell ref="B20:J20"/>
    <mergeCell ref="B10:C10"/>
    <mergeCell ref="D6:J6"/>
    <mergeCell ref="E18:J18"/>
    <mergeCell ref="B9:C9"/>
    <mergeCell ref="C17:D17"/>
    <mergeCell ref="B6:C6"/>
    <mergeCell ref="C18:D18"/>
    <mergeCell ref="D5:J5"/>
    <mergeCell ref="E15:J15"/>
    <mergeCell ref="C16:D16"/>
    <mergeCell ref="D10:J10"/>
    <mergeCell ref="B8:C8"/>
    <mergeCell ref="E16:J16"/>
    <mergeCell ref="B7:C7"/>
    <mergeCell ref="D9:J9"/>
    <mergeCell ref="E13:J13"/>
    <mergeCell ref="C15:D15"/>
    <mergeCell ref="D8:J8"/>
    <mergeCell ref="C14:D14"/>
  </mergeCells>
  <conditionalFormatting sqref="I23:I82">
    <cfRule type="expression" dxfId="13" priority="2">
      <formula>AND(ISNUMBER(I23),I23&gt;=0.95)</formula>
    </cfRule>
    <cfRule type="expression" dxfId="12" priority="3">
      <formula>AND(ISNUMBER(I23),I23&gt;=0.8,I23&lt;0.95)</formula>
    </cfRule>
    <cfRule type="expression" dxfId="11" priority="4">
      <formula>AND(ISNUMBER(I23),I23&lt;0.8)</formula>
    </cfRule>
  </conditionalFormatting>
  <conditionalFormatting sqref="J23:J82">
    <cfRule type="expression" dxfId="10" priority="5">
      <formula>J23="Cumple"</formula>
    </cfRule>
    <cfRule type="expression" dxfId="9" priority="6">
      <formula>J23="En riesgo"</formula>
    </cfRule>
    <cfRule type="expression" dxfId="8" priority="7">
      <formula>J23="Crítico"</formula>
    </cfRule>
    <cfRule type="expression" dxfId="7" priority="8">
      <formula>J23="Pendiente"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8E44AD"/>
  </sheetPr>
  <dimension ref="B2:M82"/>
  <sheetViews>
    <sheetView showGridLines="0" tabSelected="1" zoomScale="95" zoomScaleNormal="95" workbookViewId="0">
      <pane ySplit="22" topLeftCell="A23" activePane="bottomLeft" state="frozen"/>
      <selection pane="bottomLeft" activeCell="E16" sqref="E16:I16"/>
    </sheetView>
  </sheetViews>
  <sheetFormatPr baseColWidth="10" defaultColWidth="8.6328125" defaultRowHeight="14.5" x14ac:dyDescent="0.35"/>
  <cols>
    <col min="1" max="1" width="2" customWidth="1"/>
    <col min="2" max="2" width="6" customWidth="1"/>
    <col min="3" max="3" width="8" customWidth="1"/>
    <col min="4" max="4" width="11" customWidth="1"/>
    <col min="5" max="5" width="22" customWidth="1"/>
    <col min="6" max="6" width="15" customWidth="1"/>
    <col min="7" max="7" width="12" customWidth="1"/>
    <col min="8" max="9" width="13" customWidth="1"/>
  </cols>
  <sheetData>
    <row r="2" spans="2:13" ht="27.75" customHeight="1" x14ac:dyDescent="0.35">
      <c r="B2" s="114" t="s">
        <v>313</v>
      </c>
      <c r="C2" s="72"/>
      <c r="D2" s="72"/>
      <c r="E2" s="72"/>
      <c r="F2" s="72"/>
      <c r="G2" s="72"/>
      <c r="H2" s="72"/>
      <c r="I2" s="72"/>
    </row>
    <row r="3" spans="2:13" ht="18" customHeight="1" x14ac:dyDescent="0.35">
      <c r="B3" s="112" t="s">
        <v>310</v>
      </c>
      <c r="C3" s="72"/>
      <c r="D3" s="72"/>
      <c r="E3" s="72"/>
      <c r="F3" s="72"/>
      <c r="G3" s="72"/>
      <c r="H3" s="72"/>
      <c r="I3" s="72"/>
    </row>
    <row r="5" spans="2:13" ht="25.5" customHeight="1" x14ac:dyDescent="0.35">
      <c r="B5" s="88" t="s">
        <v>113</v>
      </c>
      <c r="C5" s="81"/>
      <c r="D5" s="89" t="s">
        <v>198</v>
      </c>
      <c r="E5" s="80"/>
      <c r="F5" s="80"/>
      <c r="G5" s="80"/>
      <c r="H5" s="80"/>
      <c r="I5" s="81"/>
    </row>
    <row r="6" spans="2:13" ht="25.5" customHeight="1" x14ac:dyDescent="0.35">
      <c r="B6" s="88" t="s">
        <v>114</v>
      </c>
      <c r="C6" s="81"/>
      <c r="D6" s="89" t="s">
        <v>199</v>
      </c>
      <c r="E6" s="80"/>
      <c r="F6" s="80"/>
      <c r="G6" s="80"/>
      <c r="H6" s="80"/>
      <c r="I6" s="81"/>
    </row>
    <row r="7" spans="2:13" ht="19.5" customHeight="1" x14ac:dyDescent="0.35">
      <c r="B7" s="88" t="s">
        <v>115</v>
      </c>
      <c r="C7" s="81"/>
      <c r="D7" s="89" t="s">
        <v>178</v>
      </c>
      <c r="E7" s="80"/>
      <c r="F7" s="80"/>
      <c r="G7" s="80"/>
      <c r="H7" s="80"/>
      <c r="I7" s="81"/>
    </row>
    <row r="8" spans="2:13" ht="19.5" customHeight="1" x14ac:dyDescent="0.35">
      <c r="B8" s="88" t="s">
        <v>214</v>
      </c>
      <c r="C8" s="81"/>
      <c r="D8" s="89" t="s">
        <v>160</v>
      </c>
      <c r="E8" s="80"/>
      <c r="F8" s="80"/>
      <c r="G8" s="80"/>
      <c r="H8" s="80"/>
      <c r="I8" s="81"/>
    </row>
    <row r="9" spans="2:13" ht="19.5" customHeight="1" x14ac:dyDescent="0.35">
      <c r="B9" s="88" t="s">
        <v>33</v>
      </c>
      <c r="C9" s="81"/>
      <c r="D9" s="89" t="s">
        <v>73</v>
      </c>
      <c r="E9" s="80"/>
      <c r="F9" s="80"/>
      <c r="G9" s="80"/>
      <c r="H9" s="80"/>
      <c r="I9" s="81"/>
    </row>
    <row r="10" spans="2:13" ht="19.5" customHeight="1" x14ac:dyDescent="0.35">
      <c r="B10" s="88" t="s">
        <v>117</v>
      </c>
      <c r="C10" s="81"/>
      <c r="D10" s="93" t="str">
        <f>VLOOKUP("IND-25",Parámetros!$B$6:$F$30,5,FALSE())</f>
        <v>Por definir</v>
      </c>
      <c r="E10" s="80"/>
      <c r="F10" s="80"/>
      <c r="G10" s="80"/>
      <c r="H10" s="80"/>
      <c r="I10" s="81"/>
    </row>
    <row r="12" spans="2:13" ht="19.5" customHeight="1" x14ac:dyDescent="0.35">
      <c r="B12" s="113" t="s">
        <v>215</v>
      </c>
      <c r="C12" s="72"/>
      <c r="D12" s="72"/>
      <c r="E12" s="72"/>
      <c r="F12" s="72"/>
      <c r="G12" s="72"/>
      <c r="H12" s="72"/>
      <c r="I12" s="72"/>
    </row>
    <row r="13" spans="2:13" ht="18" customHeight="1" x14ac:dyDescent="0.35">
      <c r="B13" s="12" t="s">
        <v>208</v>
      </c>
      <c r="C13" s="90" t="s">
        <v>216</v>
      </c>
      <c r="D13" s="81"/>
      <c r="E13" s="90" t="s">
        <v>217</v>
      </c>
      <c r="F13" s="80"/>
      <c r="G13" s="80"/>
      <c r="H13" s="80"/>
      <c r="I13" s="81"/>
    </row>
    <row r="14" spans="2:13" ht="19.5" customHeight="1" x14ac:dyDescent="0.35">
      <c r="B14" s="51">
        <v>2026</v>
      </c>
      <c r="C14" s="115">
        <v>1</v>
      </c>
      <c r="D14" s="116"/>
      <c r="E14" s="92" t="s">
        <v>317</v>
      </c>
      <c r="F14" s="118"/>
      <c r="G14" s="118"/>
      <c r="H14" s="118"/>
      <c r="I14" s="118"/>
      <c r="L14" s="117">
        <v>1</v>
      </c>
      <c r="M14" t="s">
        <v>315</v>
      </c>
    </row>
    <row r="15" spans="2:13" ht="19.5" customHeight="1" x14ac:dyDescent="0.35">
      <c r="B15" s="51">
        <v>2027</v>
      </c>
      <c r="C15" s="115">
        <v>1</v>
      </c>
      <c r="D15" s="116"/>
      <c r="E15" s="92" t="s">
        <v>317</v>
      </c>
      <c r="F15" s="118"/>
      <c r="G15" s="118"/>
      <c r="H15" s="118"/>
      <c r="I15" s="118"/>
      <c r="L15" s="117">
        <v>0.75</v>
      </c>
    </row>
    <row r="16" spans="2:13" ht="19.5" customHeight="1" x14ac:dyDescent="0.35">
      <c r="B16" s="51">
        <v>2028</v>
      </c>
      <c r="C16" s="115">
        <v>1</v>
      </c>
      <c r="D16" s="116"/>
      <c r="E16" s="92" t="s">
        <v>317</v>
      </c>
      <c r="F16" s="118"/>
      <c r="G16" s="118"/>
      <c r="H16" s="118"/>
      <c r="I16" s="118"/>
      <c r="L16" s="117">
        <v>0.5</v>
      </c>
    </row>
    <row r="17" spans="2:13" ht="19.5" customHeight="1" x14ac:dyDescent="0.35">
      <c r="B17" s="51">
        <v>2029</v>
      </c>
      <c r="C17" s="115">
        <v>1</v>
      </c>
      <c r="D17" s="116"/>
      <c r="E17" s="92" t="s">
        <v>317</v>
      </c>
      <c r="F17" s="118"/>
      <c r="G17" s="118"/>
      <c r="H17" s="118"/>
      <c r="I17" s="118"/>
      <c r="L17" s="117">
        <v>0.25</v>
      </c>
    </row>
    <row r="18" spans="2:13" ht="19.5" customHeight="1" x14ac:dyDescent="0.35">
      <c r="B18" s="51">
        <v>2030</v>
      </c>
      <c r="C18" s="115">
        <v>1</v>
      </c>
      <c r="D18" s="116"/>
      <c r="E18" s="92" t="s">
        <v>317</v>
      </c>
      <c r="F18" s="118"/>
      <c r="G18" s="118"/>
      <c r="H18" s="118"/>
      <c r="I18" s="118"/>
      <c r="L18" s="117">
        <v>0</v>
      </c>
      <c r="M18" t="s">
        <v>316</v>
      </c>
    </row>
    <row r="20" spans="2:13" ht="19.5" customHeight="1" x14ac:dyDescent="0.35">
      <c r="B20" s="111" t="s">
        <v>218</v>
      </c>
      <c r="C20" s="72"/>
      <c r="D20" s="72"/>
      <c r="E20" s="72"/>
      <c r="F20" s="72"/>
      <c r="G20" s="72"/>
      <c r="H20" s="72"/>
      <c r="I20" s="72"/>
    </row>
    <row r="21" spans="2:13" ht="24" customHeight="1" x14ac:dyDescent="0.35">
      <c r="B21" s="96" t="s">
        <v>219</v>
      </c>
      <c r="C21" s="72"/>
      <c r="D21" s="72"/>
      <c r="E21" s="72"/>
      <c r="F21" s="72"/>
      <c r="G21" s="72"/>
      <c r="H21" s="72"/>
      <c r="I21" s="72"/>
    </row>
    <row r="22" spans="2:13" ht="30" customHeight="1" x14ac:dyDescent="0.35">
      <c r="B22" s="21" t="s">
        <v>220</v>
      </c>
      <c r="C22" s="21" t="s">
        <v>208</v>
      </c>
      <c r="D22" s="21" t="s">
        <v>209</v>
      </c>
      <c r="E22" s="21" t="s">
        <v>314</v>
      </c>
      <c r="F22" s="21" t="s">
        <v>223</v>
      </c>
      <c r="G22" s="21" t="s">
        <v>224</v>
      </c>
      <c r="H22" s="21" t="s">
        <v>225</v>
      </c>
      <c r="I22" s="21" t="s">
        <v>226</v>
      </c>
    </row>
    <row r="23" spans="2:13" ht="18" customHeight="1" x14ac:dyDescent="0.35">
      <c r="B23" s="52">
        <v>1</v>
      </c>
      <c r="C23" s="53">
        <v>2026</v>
      </c>
      <c r="D23" s="54" t="s">
        <v>227</v>
      </c>
      <c r="E23" s="65"/>
      <c r="F23" s="66"/>
      <c r="G23" s="57">
        <f t="shared" ref="G23:G54" si="0">IFERROR(VLOOKUP(C23,$B$14:$C$18,2,FALSE()),"")</f>
        <v>1</v>
      </c>
      <c r="H23" s="56" t="str">
        <f t="shared" ref="H23:H54" si="1">IFERROR(IF(OR(F23="",NOT(ISNUMBER(G23))),"",1-ABS(F23-G23)/MAX(ABS(G23),1)),"")</f>
        <v/>
      </c>
      <c r="I23" s="32" t="str">
        <f t="shared" ref="I23:I54" si="2">IFERROR(IF(H23="","Pendiente",IF(H23&gt;=0.95,"Cumple",IF(H23&gt;=0.8,"En riesgo","Crítico"))),"Pendiente")</f>
        <v>Pendiente</v>
      </c>
    </row>
    <row r="24" spans="2:13" ht="18" customHeight="1" x14ac:dyDescent="0.35">
      <c r="B24" s="52">
        <v>2</v>
      </c>
      <c r="C24" s="53">
        <v>2026</v>
      </c>
      <c r="D24" s="54" t="s">
        <v>228</v>
      </c>
      <c r="E24" s="65"/>
      <c r="F24" s="66"/>
      <c r="G24" s="57">
        <f t="shared" si="0"/>
        <v>1</v>
      </c>
      <c r="H24" s="56" t="str">
        <f t="shared" si="1"/>
        <v/>
      </c>
      <c r="I24" s="32" t="str">
        <f t="shared" si="2"/>
        <v>Pendiente</v>
      </c>
    </row>
    <row r="25" spans="2:13" ht="18" customHeight="1" x14ac:dyDescent="0.35">
      <c r="B25" s="52">
        <v>3</v>
      </c>
      <c r="C25" s="53">
        <v>2026</v>
      </c>
      <c r="D25" s="54" t="s">
        <v>229</v>
      </c>
      <c r="E25" s="65"/>
      <c r="F25" s="66"/>
      <c r="G25" s="57">
        <f t="shared" si="0"/>
        <v>1</v>
      </c>
      <c r="H25" s="56" t="str">
        <f t="shared" si="1"/>
        <v/>
      </c>
      <c r="I25" s="32" t="str">
        <f t="shared" si="2"/>
        <v>Pendiente</v>
      </c>
    </row>
    <row r="26" spans="2:13" ht="18" customHeight="1" x14ac:dyDescent="0.35">
      <c r="B26" s="52">
        <v>4</v>
      </c>
      <c r="C26" s="53">
        <v>2026</v>
      </c>
      <c r="D26" s="54" t="s">
        <v>230</v>
      </c>
      <c r="E26" s="65"/>
      <c r="F26" s="66"/>
      <c r="G26" s="57">
        <f t="shared" si="0"/>
        <v>1</v>
      </c>
      <c r="H26" s="56" t="str">
        <f t="shared" si="1"/>
        <v/>
      </c>
      <c r="I26" s="32" t="str">
        <f t="shared" si="2"/>
        <v>Pendiente</v>
      </c>
    </row>
    <row r="27" spans="2:13" ht="18" customHeight="1" x14ac:dyDescent="0.35">
      <c r="B27" s="52">
        <v>5</v>
      </c>
      <c r="C27" s="53">
        <v>2026</v>
      </c>
      <c r="D27" s="54" t="s">
        <v>231</v>
      </c>
      <c r="E27" s="65"/>
      <c r="F27" s="66"/>
      <c r="G27" s="57">
        <f t="shared" si="0"/>
        <v>1</v>
      </c>
      <c r="H27" s="56" t="str">
        <f t="shared" si="1"/>
        <v/>
      </c>
      <c r="I27" s="32" t="str">
        <f t="shared" si="2"/>
        <v>Pendiente</v>
      </c>
    </row>
    <row r="28" spans="2:13" ht="18" customHeight="1" x14ac:dyDescent="0.35">
      <c r="B28" s="52">
        <v>6</v>
      </c>
      <c r="C28" s="53">
        <v>2026</v>
      </c>
      <c r="D28" s="54" t="s">
        <v>232</v>
      </c>
      <c r="E28" s="65"/>
      <c r="F28" s="66"/>
      <c r="G28" s="57">
        <f t="shared" si="0"/>
        <v>1</v>
      </c>
      <c r="H28" s="56" t="str">
        <f t="shared" si="1"/>
        <v/>
      </c>
      <c r="I28" s="32" t="str">
        <f t="shared" si="2"/>
        <v>Pendiente</v>
      </c>
    </row>
    <row r="29" spans="2:13" ht="18" customHeight="1" x14ac:dyDescent="0.35">
      <c r="B29" s="52">
        <v>7</v>
      </c>
      <c r="C29" s="53">
        <v>2026</v>
      </c>
      <c r="D29" s="54" t="s">
        <v>233</v>
      </c>
      <c r="E29" s="65"/>
      <c r="F29" s="66"/>
      <c r="G29" s="57">
        <f t="shared" si="0"/>
        <v>1</v>
      </c>
      <c r="H29" s="56" t="str">
        <f t="shared" si="1"/>
        <v/>
      </c>
      <c r="I29" s="32" t="str">
        <f t="shared" si="2"/>
        <v>Pendiente</v>
      </c>
    </row>
    <row r="30" spans="2:13" ht="18" customHeight="1" x14ac:dyDescent="0.35">
      <c r="B30" s="52">
        <v>8</v>
      </c>
      <c r="C30" s="53">
        <v>2026</v>
      </c>
      <c r="D30" s="54" t="s">
        <v>234</v>
      </c>
      <c r="E30" s="65"/>
      <c r="F30" s="66"/>
      <c r="G30" s="57">
        <f t="shared" si="0"/>
        <v>1</v>
      </c>
      <c r="H30" s="56" t="str">
        <f t="shared" si="1"/>
        <v/>
      </c>
      <c r="I30" s="32" t="str">
        <f t="shared" si="2"/>
        <v>Pendiente</v>
      </c>
    </row>
    <row r="31" spans="2:13" ht="18" customHeight="1" x14ac:dyDescent="0.35">
      <c r="B31" s="52">
        <v>9</v>
      </c>
      <c r="C31" s="53">
        <v>2026</v>
      </c>
      <c r="D31" s="54" t="s">
        <v>235</v>
      </c>
      <c r="E31" s="65"/>
      <c r="F31" s="66"/>
      <c r="G31" s="57">
        <f t="shared" si="0"/>
        <v>1</v>
      </c>
      <c r="H31" s="56" t="str">
        <f t="shared" si="1"/>
        <v/>
      </c>
      <c r="I31" s="32" t="str">
        <f t="shared" si="2"/>
        <v>Pendiente</v>
      </c>
    </row>
    <row r="32" spans="2:13" ht="18" customHeight="1" x14ac:dyDescent="0.35">
      <c r="B32" s="52">
        <v>10</v>
      </c>
      <c r="C32" s="53">
        <v>2026</v>
      </c>
      <c r="D32" s="54" t="s">
        <v>236</v>
      </c>
      <c r="E32" s="65"/>
      <c r="F32" s="66"/>
      <c r="G32" s="57">
        <f t="shared" si="0"/>
        <v>1</v>
      </c>
      <c r="H32" s="56" t="str">
        <f t="shared" si="1"/>
        <v/>
      </c>
      <c r="I32" s="32" t="str">
        <f t="shared" si="2"/>
        <v>Pendiente</v>
      </c>
    </row>
    <row r="33" spans="2:9" ht="18" customHeight="1" x14ac:dyDescent="0.35">
      <c r="B33" s="52">
        <v>11</v>
      </c>
      <c r="C33" s="53">
        <v>2026</v>
      </c>
      <c r="D33" s="54" t="s">
        <v>237</v>
      </c>
      <c r="E33" s="65"/>
      <c r="F33" s="66"/>
      <c r="G33" s="57">
        <f t="shared" si="0"/>
        <v>1</v>
      </c>
      <c r="H33" s="56" t="str">
        <f t="shared" si="1"/>
        <v/>
      </c>
      <c r="I33" s="32" t="str">
        <f t="shared" si="2"/>
        <v>Pendiente</v>
      </c>
    </row>
    <row r="34" spans="2:9" ht="18" customHeight="1" x14ac:dyDescent="0.35">
      <c r="B34" s="52">
        <v>12</v>
      </c>
      <c r="C34" s="53">
        <v>2026</v>
      </c>
      <c r="D34" s="54" t="s">
        <v>238</v>
      </c>
      <c r="E34" s="70">
        <v>0.83</v>
      </c>
      <c r="F34" s="56">
        <f>IF(E34="","",E34)</f>
        <v>0.83</v>
      </c>
      <c r="G34" s="57">
        <f t="shared" si="0"/>
        <v>1</v>
      </c>
      <c r="H34" s="56">
        <f t="shared" si="1"/>
        <v>0.83</v>
      </c>
      <c r="I34" s="32" t="str">
        <f t="shared" si="2"/>
        <v>En riesgo</v>
      </c>
    </row>
    <row r="35" spans="2:9" ht="18" customHeight="1" x14ac:dyDescent="0.35">
      <c r="B35" s="52">
        <v>13</v>
      </c>
      <c r="C35" s="53">
        <v>2027</v>
      </c>
      <c r="D35" s="54" t="s">
        <v>227</v>
      </c>
      <c r="E35" s="65"/>
      <c r="F35" s="66"/>
      <c r="G35" s="57">
        <f t="shared" si="0"/>
        <v>1</v>
      </c>
      <c r="H35" s="56" t="str">
        <f t="shared" si="1"/>
        <v/>
      </c>
      <c r="I35" s="32" t="str">
        <f t="shared" si="2"/>
        <v>Pendiente</v>
      </c>
    </row>
    <row r="36" spans="2:9" ht="18" customHeight="1" x14ac:dyDescent="0.35">
      <c r="B36" s="52">
        <v>14</v>
      </c>
      <c r="C36" s="53">
        <v>2027</v>
      </c>
      <c r="D36" s="54" t="s">
        <v>228</v>
      </c>
      <c r="E36" s="65"/>
      <c r="F36" s="66"/>
      <c r="G36" s="57">
        <f t="shared" si="0"/>
        <v>1</v>
      </c>
      <c r="H36" s="56" t="str">
        <f t="shared" si="1"/>
        <v/>
      </c>
      <c r="I36" s="32" t="str">
        <f t="shared" si="2"/>
        <v>Pendiente</v>
      </c>
    </row>
    <row r="37" spans="2:9" ht="18" customHeight="1" x14ac:dyDescent="0.35">
      <c r="B37" s="52">
        <v>15</v>
      </c>
      <c r="C37" s="53">
        <v>2027</v>
      </c>
      <c r="D37" s="54" t="s">
        <v>229</v>
      </c>
      <c r="E37" s="65"/>
      <c r="F37" s="66"/>
      <c r="G37" s="57">
        <f t="shared" si="0"/>
        <v>1</v>
      </c>
      <c r="H37" s="56" t="str">
        <f t="shared" si="1"/>
        <v/>
      </c>
      <c r="I37" s="32" t="str">
        <f t="shared" si="2"/>
        <v>Pendiente</v>
      </c>
    </row>
    <row r="38" spans="2:9" ht="18" customHeight="1" x14ac:dyDescent="0.35">
      <c r="B38" s="52">
        <v>16</v>
      </c>
      <c r="C38" s="53">
        <v>2027</v>
      </c>
      <c r="D38" s="54" t="s">
        <v>230</v>
      </c>
      <c r="E38" s="65"/>
      <c r="F38" s="66"/>
      <c r="G38" s="57">
        <f t="shared" si="0"/>
        <v>1</v>
      </c>
      <c r="H38" s="56" t="str">
        <f t="shared" si="1"/>
        <v/>
      </c>
      <c r="I38" s="32" t="str">
        <f t="shared" si="2"/>
        <v>Pendiente</v>
      </c>
    </row>
    <row r="39" spans="2:9" ht="18" customHeight="1" x14ac:dyDescent="0.35">
      <c r="B39" s="52">
        <v>17</v>
      </c>
      <c r="C39" s="53">
        <v>2027</v>
      </c>
      <c r="D39" s="54" t="s">
        <v>231</v>
      </c>
      <c r="E39" s="65"/>
      <c r="F39" s="66"/>
      <c r="G39" s="57">
        <f t="shared" si="0"/>
        <v>1</v>
      </c>
      <c r="H39" s="56" t="str">
        <f t="shared" si="1"/>
        <v/>
      </c>
      <c r="I39" s="32" t="str">
        <f t="shared" si="2"/>
        <v>Pendiente</v>
      </c>
    </row>
    <row r="40" spans="2:9" ht="18" customHeight="1" x14ac:dyDescent="0.35">
      <c r="B40" s="52">
        <v>18</v>
      </c>
      <c r="C40" s="53">
        <v>2027</v>
      </c>
      <c r="D40" s="54" t="s">
        <v>232</v>
      </c>
      <c r="E40" s="65"/>
      <c r="F40" s="66"/>
      <c r="G40" s="57">
        <f t="shared" si="0"/>
        <v>1</v>
      </c>
      <c r="H40" s="56" t="str">
        <f t="shared" si="1"/>
        <v/>
      </c>
      <c r="I40" s="32" t="str">
        <f t="shared" si="2"/>
        <v>Pendiente</v>
      </c>
    </row>
    <row r="41" spans="2:9" ht="18" customHeight="1" x14ac:dyDescent="0.35">
      <c r="B41" s="52">
        <v>19</v>
      </c>
      <c r="C41" s="53">
        <v>2027</v>
      </c>
      <c r="D41" s="54" t="s">
        <v>233</v>
      </c>
      <c r="E41" s="65"/>
      <c r="F41" s="66"/>
      <c r="G41" s="57">
        <f t="shared" si="0"/>
        <v>1</v>
      </c>
      <c r="H41" s="56" t="str">
        <f t="shared" si="1"/>
        <v/>
      </c>
      <c r="I41" s="32" t="str">
        <f t="shared" si="2"/>
        <v>Pendiente</v>
      </c>
    </row>
    <row r="42" spans="2:9" ht="18" customHeight="1" x14ac:dyDescent="0.35">
      <c r="B42" s="52">
        <v>20</v>
      </c>
      <c r="C42" s="53">
        <v>2027</v>
      </c>
      <c r="D42" s="54" t="s">
        <v>234</v>
      </c>
      <c r="E42" s="65"/>
      <c r="F42" s="66"/>
      <c r="G42" s="57">
        <f t="shared" si="0"/>
        <v>1</v>
      </c>
      <c r="H42" s="56" t="str">
        <f t="shared" si="1"/>
        <v/>
      </c>
      <c r="I42" s="32" t="str">
        <f t="shared" si="2"/>
        <v>Pendiente</v>
      </c>
    </row>
    <row r="43" spans="2:9" ht="18" customHeight="1" x14ac:dyDescent="0.35">
      <c r="B43" s="52">
        <v>21</v>
      </c>
      <c r="C43" s="53">
        <v>2027</v>
      </c>
      <c r="D43" s="54" t="s">
        <v>235</v>
      </c>
      <c r="E43" s="65"/>
      <c r="F43" s="66"/>
      <c r="G43" s="57">
        <f t="shared" si="0"/>
        <v>1</v>
      </c>
      <c r="H43" s="56" t="str">
        <f t="shared" si="1"/>
        <v/>
      </c>
      <c r="I43" s="32" t="str">
        <f t="shared" si="2"/>
        <v>Pendiente</v>
      </c>
    </row>
    <row r="44" spans="2:9" ht="18" customHeight="1" x14ac:dyDescent="0.35">
      <c r="B44" s="52">
        <v>22</v>
      </c>
      <c r="C44" s="53">
        <v>2027</v>
      </c>
      <c r="D44" s="54" t="s">
        <v>236</v>
      </c>
      <c r="E44" s="65"/>
      <c r="F44" s="66"/>
      <c r="G44" s="57">
        <f t="shared" si="0"/>
        <v>1</v>
      </c>
      <c r="H44" s="56" t="str">
        <f t="shared" si="1"/>
        <v/>
      </c>
      <c r="I44" s="32" t="str">
        <f t="shared" si="2"/>
        <v>Pendiente</v>
      </c>
    </row>
    <row r="45" spans="2:9" ht="18" customHeight="1" x14ac:dyDescent="0.35">
      <c r="B45" s="52">
        <v>23</v>
      </c>
      <c r="C45" s="53">
        <v>2027</v>
      </c>
      <c r="D45" s="54" t="s">
        <v>237</v>
      </c>
      <c r="E45" s="65"/>
      <c r="F45" s="66"/>
      <c r="G45" s="57">
        <f t="shared" si="0"/>
        <v>1</v>
      </c>
      <c r="H45" s="56" t="str">
        <f t="shared" si="1"/>
        <v/>
      </c>
      <c r="I45" s="32" t="str">
        <f t="shared" si="2"/>
        <v>Pendiente</v>
      </c>
    </row>
    <row r="46" spans="2:9" ht="18" customHeight="1" x14ac:dyDescent="0.35">
      <c r="B46" s="52">
        <v>24</v>
      </c>
      <c r="C46" s="53">
        <v>2027</v>
      </c>
      <c r="D46" s="54" t="s">
        <v>238</v>
      </c>
      <c r="E46" s="70"/>
      <c r="F46" s="56" t="str">
        <f>IF(E46="","",E46)</f>
        <v/>
      </c>
      <c r="G46" s="57">
        <f t="shared" si="0"/>
        <v>1</v>
      </c>
      <c r="H46" s="56" t="str">
        <f t="shared" si="1"/>
        <v/>
      </c>
      <c r="I46" s="32" t="str">
        <f t="shared" si="2"/>
        <v>Pendiente</v>
      </c>
    </row>
    <row r="47" spans="2:9" ht="18" customHeight="1" x14ac:dyDescent="0.35">
      <c r="B47" s="52">
        <v>25</v>
      </c>
      <c r="C47" s="53">
        <v>2028</v>
      </c>
      <c r="D47" s="54" t="s">
        <v>227</v>
      </c>
      <c r="E47" s="65"/>
      <c r="F47" s="66"/>
      <c r="G47" s="57">
        <f t="shared" si="0"/>
        <v>1</v>
      </c>
      <c r="H47" s="56" t="str">
        <f t="shared" si="1"/>
        <v/>
      </c>
      <c r="I47" s="32" t="str">
        <f t="shared" si="2"/>
        <v>Pendiente</v>
      </c>
    </row>
    <row r="48" spans="2:9" ht="18" customHeight="1" x14ac:dyDescent="0.35">
      <c r="B48" s="52">
        <v>26</v>
      </c>
      <c r="C48" s="53">
        <v>2028</v>
      </c>
      <c r="D48" s="54" t="s">
        <v>228</v>
      </c>
      <c r="E48" s="65"/>
      <c r="F48" s="66"/>
      <c r="G48" s="57">
        <f t="shared" si="0"/>
        <v>1</v>
      </c>
      <c r="H48" s="56" t="str">
        <f t="shared" si="1"/>
        <v/>
      </c>
      <c r="I48" s="32" t="str">
        <f t="shared" si="2"/>
        <v>Pendiente</v>
      </c>
    </row>
    <row r="49" spans="2:9" ht="18" customHeight="1" x14ac:dyDescent="0.35">
      <c r="B49" s="52">
        <v>27</v>
      </c>
      <c r="C49" s="53">
        <v>2028</v>
      </c>
      <c r="D49" s="54" t="s">
        <v>229</v>
      </c>
      <c r="E49" s="65"/>
      <c r="F49" s="66"/>
      <c r="G49" s="57">
        <f t="shared" si="0"/>
        <v>1</v>
      </c>
      <c r="H49" s="56" t="str">
        <f t="shared" si="1"/>
        <v/>
      </c>
      <c r="I49" s="32" t="str">
        <f t="shared" si="2"/>
        <v>Pendiente</v>
      </c>
    </row>
    <row r="50" spans="2:9" ht="18" customHeight="1" x14ac:dyDescent="0.35">
      <c r="B50" s="52">
        <v>28</v>
      </c>
      <c r="C50" s="53">
        <v>2028</v>
      </c>
      <c r="D50" s="54" t="s">
        <v>230</v>
      </c>
      <c r="E50" s="65"/>
      <c r="F50" s="66"/>
      <c r="G50" s="57">
        <f t="shared" si="0"/>
        <v>1</v>
      </c>
      <c r="H50" s="56" t="str">
        <f t="shared" si="1"/>
        <v/>
      </c>
      <c r="I50" s="32" t="str">
        <f t="shared" si="2"/>
        <v>Pendiente</v>
      </c>
    </row>
    <row r="51" spans="2:9" ht="18" customHeight="1" x14ac:dyDescent="0.35">
      <c r="B51" s="52">
        <v>29</v>
      </c>
      <c r="C51" s="53">
        <v>2028</v>
      </c>
      <c r="D51" s="54" t="s">
        <v>231</v>
      </c>
      <c r="E51" s="65"/>
      <c r="F51" s="66"/>
      <c r="G51" s="57">
        <f t="shared" si="0"/>
        <v>1</v>
      </c>
      <c r="H51" s="56" t="str">
        <f t="shared" si="1"/>
        <v/>
      </c>
      <c r="I51" s="32" t="str">
        <f t="shared" si="2"/>
        <v>Pendiente</v>
      </c>
    </row>
    <row r="52" spans="2:9" ht="18" customHeight="1" x14ac:dyDescent="0.35">
      <c r="B52" s="52">
        <v>30</v>
      </c>
      <c r="C52" s="53">
        <v>2028</v>
      </c>
      <c r="D52" s="54" t="s">
        <v>232</v>
      </c>
      <c r="E52" s="65"/>
      <c r="F52" s="66"/>
      <c r="G52" s="57">
        <f t="shared" si="0"/>
        <v>1</v>
      </c>
      <c r="H52" s="56" t="str">
        <f t="shared" si="1"/>
        <v/>
      </c>
      <c r="I52" s="32" t="str">
        <f t="shared" si="2"/>
        <v>Pendiente</v>
      </c>
    </row>
    <row r="53" spans="2:9" ht="18" customHeight="1" x14ac:dyDescent="0.35">
      <c r="B53" s="52">
        <v>31</v>
      </c>
      <c r="C53" s="53">
        <v>2028</v>
      </c>
      <c r="D53" s="54" t="s">
        <v>233</v>
      </c>
      <c r="E53" s="65"/>
      <c r="F53" s="66"/>
      <c r="G53" s="57">
        <f t="shared" si="0"/>
        <v>1</v>
      </c>
      <c r="H53" s="56" t="str">
        <f t="shared" si="1"/>
        <v/>
      </c>
      <c r="I53" s="32" t="str">
        <f t="shared" si="2"/>
        <v>Pendiente</v>
      </c>
    </row>
    <row r="54" spans="2:9" ht="18" customHeight="1" x14ac:dyDescent="0.35">
      <c r="B54" s="52">
        <v>32</v>
      </c>
      <c r="C54" s="53">
        <v>2028</v>
      </c>
      <c r="D54" s="54" t="s">
        <v>234</v>
      </c>
      <c r="E54" s="65"/>
      <c r="F54" s="66"/>
      <c r="G54" s="57">
        <f t="shared" si="0"/>
        <v>1</v>
      </c>
      <c r="H54" s="56" t="str">
        <f t="shared" si="1"/>
        <v/>
      </c>
      <c r="I54" s="32" t="str">
        <f t="shared" si="2"/>
        <v>Pendiente</v>
      </c>
    </row>
    <row r="55" spans="2:9" ht="18" customHeight="1" x14ac:dyDescent="0.35">
      <c r="B55" s="52">
        <v>33</v>
      </c>
      <c r="C55" s="53">
        <v>2028</v>
      </c>
      <c r="D55" s="54" t="s">
        <v>235</v>
      </c>
      <c r="E55" s="65"/>
      <c r="F55" s="66"/>
      <c r="G55" s="57">
        <f t="shared" ref="G55:G82" si="3">IFERROR(VLOOKUP(C55,$B$14:$C$18,2,FALSE()),"")</f>
        <v>1</v>
      </c>
      <c r="H55" s="56" t="str">
        <f t="shared" ref="H55:H86" si="4">IFERROR(IF(OR(F55="",NOT(ISNUMBER(G55))),"",1-ABS(F55-G55)/MAX(ABS(G55),1)),"")</f>
        <v/>
      </c>
      <c r="I55" s="32" t="str">
        <f t="shared" ref="I55:I86" si="5">IFERROR(IF(H55="","Pendiente",IF(H55&gt;=0.95,"Cumple",IF(H55&gt;=0.8,"En riesgo","Crítico"))),"Pendiente")</f>
        <v>Pendiente</v>
      </c>
    </row>
    <row r="56" spans="2:9" ht="18" customHeight="1" x14ac:dyDescent="0.35">
      <c r="B56" s="52">
        <v>34</v>
      </c>
      <c r="C56" s="53">
        <v>2028</v>
      </c>
      <c r="D56" s="54" t="s">
        <v>236</v>
      </c>
      <c r="E56" s="65"/>
      <c r="F56" s="66"/>
      <c r="G56" s="57">
        <f t="shared" si="3"/>
        <v>1</v>
      </c>
      <c r="H56" s="56" t="str">
        <f t="shared" si="4"/>
        <v/>
      </c>
      <c r="I56" s="32" t="str">
        <f t="shared" si="5"/>
        <v>Pendiente</v>
      </c>
    </row>
    <row r="57" spans="2:9" ht="18" customHeight="1" x14ac:dyDescent="0.35">
      <c r="B57" s="52">
        <v>35</v>
      </c>
      <c r="C57" s="53">
        <v>2028</v>
      </c>
      <c r="D57" s="54" t="s">
        <v>237</v>
      </c>
      <c r="E57" s="65"/>
      <c r="F57" s="66"/>
      <c r="G57" s="57">
        <f t="shared" si="3"/>
        <v>1</v>
      </c>
      <c r="H57" s="56" t="str">
        <f t="shared" si="4"/>
        <v/>
      </c>
      <c r="I57" s="32" t="str">
        <f t="shared" si="5"/>
        <v>Pendiente</v>
      </c>
    </row>
    <row r="58" spans="2:9" ht="18" customHeight="1" x14ac:dyDescent="0.35">
      <c r="B58" s="52">
        <v>36</v>
      </c>
      <c r="C58" s="53">
        <v>2028</v>
      </c>
      <c r="D58" s="54" t="s">
        <v>238</v>
      </c>
      <c r="E58" s="70"/>
      <c r="F58" s="56" t="str">
        <f>IF(E58="","",E58)</f>
        <v/>
      </c>
      <c r="G58" s="57">
        <f t="shared" si="3"/>
        <v>1</v>
      </c>
      <c r="H58" s="56" t="str">
        <f t="shared" si="4"/>
        <v/>
      </c>
      <c r="I58" s="32" t="str">
        <f t="shared" si="5"/>
        <v>Pendiente</v>
      </c>
    </row>
    <row r="59" spans="2:9" ht="18" customHeight="1" x14ac:dyDescent="0.35">
      <c r="B59" s="52">
        <v>37</v>
      </c>
      <c r="C59" s="53">
        <v>2029</v>
      </c>
      <c r="D59" s="54" t="s">
        <v>227</v>
      </c>
      <c r="E59" s="65"/>
      <c r="F59" s="66"/>
      <c r="G59" s="57">
        <f t="shared" si="3"/>
        <v>1</v>
      </c>
      <c r="H59" s="56" t="str">
        <f t="shared" si="4"/>
        <v/>
      </c>
      <c r="I59" s="32" t="str">
        <f t="shared" si="5"/>
        <v>Pendiente</v>
      </c>
    </row>
    <row r="60" spans="2:9" ht="18" customHeight="1" x14ac:dyDescent="0.35">
      <c r="B60" s="52">
        <v>38</v>
      </c>
      <c r="C60" s="53">
        <v>2029</v>
      </c>
      <c r="D60" s="54" t="s">
        <v>228</v>
      </c>
      <c r="E60" s="65"/>
      <c r="F60" s="66"/>
      <c r="G60" s="57">
        <f t="shared" si="3"/>
        <v>1</v>
      </c>
      <c r="H60" s="56" t="str">
        <f t="shared" si="4"/>
        <v/>
      </c>
      <c r="I60" s="32" t="str">
        <f t="shared" si="5"/>
        <v>Pendiente</v>
      </c>
    </row>
    <row r="61" spans="2:9" ht="18" customHeight="1" x14ac:dyDescent="0.35">
      <c r="B61" s="52">
        <v>39</v>
      </c>
      <c r="C61" s="53">
        <v>2029</v>
      </c>
      <c r="D61" s="54" t="s">
        <v>229</v>
      </c>
      <c r="E61" s="65"/>
      <c r="F61" s="66"/>
      <c r="G61" s="57">
        <f t="shared" si="3"/>
        <v>1</v>
      </c>
      <c r="H61" s="56" t="str">
        <f t="shared" si="4"/>
        <v/>
      </c>
      <c r="I61" s="32" t="str">
        <f t="shared" si="5"/>
        <v>Pendiente</v>
      </c>
    </row>
    <row r="62" spans="2:9" ht="18" customHeight="1" x14ac:dyDescent="0.35">
      <c r="B62" s="52">
        <v>40</v>
      </c>
      <c r="C62" s="53">
        <v>2029</v>
      </c>
      <c r="D62" s="54" t="s">
        <v>230</v>
      </c>
      <c r="E62" s="65"/>
      <c r="F62" s="66"/>
      <c r="G62" s="57">
        <f t="shared" si="3"/>
        <v>1</v>
      </c>
      <c r="H62" s="56" t="str">
        <f t="shared" si="4"/>
        <v/>
      </c>
      <c r="I62" s="32" t="str">
        <f t="shared" si="5"/>
        <v>Pendiente</v>
      </c>
    </row>
    <row r="63" spans="2:9" ht="18" customHeight="1" x14ac:dyDescent="0.35">
      <c r="B63" s="52">
        <v>41</v>
      </c>
      <c r="C63" s="53">
        <v>2029</v>
      </c>
      <c r="D63" s="54" t="s">
        <v>231</v>
      </c>
      <c r="E63" s="65"/>
      <c r="F63" s="66"/>
      <c r="G63" s="57">
        <f t="shared" si="3"/>
        <v>1</v>
      </c>
      <c r="H63" s="56" t="str">
        <f t="shared" si="4"/>
        <v/>
      </c>
      <c r="I63" s="32" t="str">
        <f t="shared" si="5"/>
        <v>Pendiente</v>
      </c>
    </row>
    <row r="64" spans="2:9" ht="18" customHeight="1" x14ac:dyDescent="0.35">
      <c r="B64" s="52">
        <v>42</v>
      </c>
      <c r="C64" s="53">
        <v>2029</v>
      </c>
      <c r="D64" s="54" t="s">
        <v>232</v>
      </c>
      <c r="E64" s="65"/>
      <c r="F64" s="66"/>
      <c r="G64" s="57">
        <f t="shared" si="3"/>
        <v>1</v>
      </c>
      <c r="H64" s="56" t="str">
        <f t="shared" si="4"/>
        <v/>
      </c>
      <c r="I64" s="32" t="str">
        <f t="shared" si="5"/>
        <v>Pendiente</v>
      </c>
    </row>
    <row r="65" spans="2:9" ht="18" customHeight="1" x14ac:dyDescent="0.35">
      <c r="B65" s="52">
        <v>43</v>
      </c>
      <c r="C65" s="53">
        <v>2029</v>
      </c>
      <c r="D65" s="54" t="s">
        <v>233</v>
      </c>
      <c r="E65" s="65"/>
      <c r="F65" s="66"/>
      <c r="G65" s="57">
        <f t="shared" si="3"/>
        <v>1</v>
      </c>
      <c r="H65" s="56" t="str">
        <f t="shared" si="4"/>
        <v/>
      </c>
      <c r="I65" s="32" t="str">
        <f t="shared" si="5"/>
        <v>Pendiente</v>
      </c>
    </row>
    <row r="66" spans="2:9" ht="18" customHeight="1" x14ac:dyDescent="0.35">
      <c r="B66" s="52">
        <v>44</v>
      </c>
      <c r="C66" s="53">
        <v>2029</v>
      </c>
      <c r="D66" s="54" t="s">
        <v>234</v>
      </c>
      <c r="E66" s="65"/>
      <c r="F66" s="66"/>
      <c r="G66" s="57">
        <f t="shared" si="3"/>
        <v>1</v>
      </c>
      <c r="H66" s="56" t="str">
        <f t="shared" si="4"/>
        <v/>
      </c>
      <c r="I66" s="32" t="str">
        <f t="shared" si="5"/>
        <v>Pendiente</v>
      </c>
    </row>
    <row r="67" spans="2:9" ht="18" customHeight="1" x14ac:dyDescent="0.35">
      <c r="B67" s="52">
        <v>45</v>
      </c>
      <c r="C67" s="53">
        <v>2029</v>
      </c>
      <c r="D67" s="54" t="s">
        <v>235</v>
      </c>
      <c r="E67" s="65"/>
      <c r="F67" s="66"/>
      <c r="G67" s="57">
        <f t="shared" si="3"/>
        <v>1</v>
      </c>
      <c r="H67" s="56" t="str">
        <f t="shared" si="4"/>
        <v/>
      </c>
      <c r="I67" s="32" t="str">
        <f t="shared" si="5"/>
        <v>Pendiente</v>
      </c>
    </row>
    <row r="68" spans="2:9" ht="18" customHeight="1" x14ac:dyDescent="0.35">
      <c r="B68" s="52">
        <v>46</v>
      </c>
      <c r="C68" s="53">
        <v>2029</v>
      </c>
      <c r="D68" s="54" t="s">
        <v>236</v>
      </c>
      <c r="E68" s="65"/>
      <c r="F68" s="66"/>
      <c r="G68" s="57">
        <f t="shared" si="3"/>
        <v>1</v>
      </c>
      <c r="H68" s="56" t="str">
        <f t="shared" si="4"/>
        <v/>
      </c>
      <c r="I68" s="32" t="str">
        <f t="shared" si="5"/>
        <v>Pendiente</v>
      </c>
    </row>
    <row r="69" spans="2:9" ht="18" customHeight="1" x14ac:dyDescent="0.35">
      <c r="B69" s="52">
        <v>47</v>
      </c>
      <c r="C69" s="53">
        <v>2029</v>
      </c>
      <c r="D69" s="54" t="s">
        <v>237</v>
      </c>
      <c r="E69" s="65"/>
      <c r="F69" s="66"/>
      <c r="G69" s="57">
        <f t="shared" si="3"/>
        <v>1</v>
      </c>
      <c r="H69" s="56" t="str">
        <f t="shared" si="4"/>
        <v/>
      </c>
      <c r="I69" s="32" t="str">
        <f t="shared" si="5"/>
        <v>Pendiente</v>
      </c>
    </row>
    <row r="70" spans="2:9" ht="18" customHeight="1" x14ac:dyDescent="0.35">
      <c r="B70" s="52">
        <v>48</v>
      </c>
      <c r="C70" s="53">
        <v>2029</v>
      </c>
      <c r="D70" s="54" t="s">
        <v>238</v>
      </c>
      <c r="E70" s="70"/>
      <c r="F70" s="56" t="str">
        <f>IF(E70="","",E70)</f>
        <v/>
      </c>
      <c r="G70" s="57">
        <f t="shared" si="3"/>
        <v>1</v>
      </c>
      <c r="H70" s="56" t="str">
        <f t="shared" si="4"/>
        <v/>
      </c>
      <c r="I70" s="32" t="str">
        <f t="shared" si="5"/>
        <v>Pendiente</v>
      </c>
    </row>
    <row r="71" spans="2:9" ht="18" customHeight="1" x14ac:dyDescent="0.35">
      <c r="B71" s="52">
        <v>49</v>
      </c>
      <c r="C71" s="53">
        <v>2030</v>
      </c>
      <c r="D71" s="54" t="s">
        <v>227</v>
      </c>
      <c r="E71" s="65"/>
      <c r="F71" s="66"/>
      <c r="G71" s="57">
        <f t="shared" si="3"/>
        <v>1</v>
      </c>
      <c r="H71" s="56" t="str">
        <f t="shared" si="4"/>
        <v/>
      </c>
      <c r="I71" s="32" t="str">
        <f t="shared" si="5"/>
        <v>Pendiente</v>
      </c>
    </row>
    <row r="72" spans="2:9" ht="18" customHeight="1" x14ac:dyDescent="0.35">
      <c r="B72" s="52">
        <v>50</v>
      </c>
      <c r="C72" s="53">
        <v>2030</v>
      </c>
      <c r="D72" s="54" t="s">
        <v>228</v>
      </c>
      <c r="E72" s="65"/>
      <c r="F72" s="66"/>
      <c r="G72" s="57">
        <f t="shared" si="3"/>
        <v>1</v>
      </c>
      <c r="H72" s="56" t="str">
        <f t="shared" si="4"/>
        <v/>
      </c>
      <c r="I72" s="32" t="str">
        <f t="shared" si="5"/>
        <v>Pendiente</v>
      </c>
    </row>
    <row r="73" spans="2:9" ht="18" customHeight="1" x14ac:dyDescent="0.35">
      <c r="B73" s="52">
        <v>51</v>
      </c>
      <c r="C73" s="53">
        <v>2030</v>
      </c>
      <c r="D73" s="54" t="s">
        <v>229</v>
      </c>
      <c r="E73" s="65"/>
      <c r="F73" s="66"/>
      <c r="G73" s="57">
        <f t="shared" si="3"/>
        <v>1</v>
      </c>
      <c r="H73" s="56" t="str">
        <f t="shared" si="4"/>
        <v/>
      </c>
      <c r="I73" s="32" t="str">
        <f t="shared" si="5"/>
        <v>Pendiente</v>
      </c>
    </row>
    <row r="74" spans="2:9" ht="18" customHeight="1" x14ac:dyDescent="0.35">
      <c r="B74" s="52">
        <v>52</v>
      </c>
      <c r="C74" s="53">
        <v>2030</v>
      </c>
      <c r="D74" s="54" t="s">
        <v>230</v>
      </c>
      <c r="E74" s="65"/>
      <c r="F74" s="66"/>
      <c r="G74" s="57">
        <f t="shared" si="3"/>
        <v>1</v>
      </c>
      <c r="H74" s="56" t="str">
        <f t="shared" si="4"/>
        <v/>
      </c>
      <c r="I74" s="32" t="str">
        <f t="shared" si="5"/>
        <v>Pendiente</v>
      </c>
    </row>
    <row r="75" spans="2:9" ht="18" customHeight="1" x14ac:dyDescent="0.35">
      <c r="B75" s="52">
        <v>53</v>
      </c>
      <c r="C75" s="53">
        <v>2030</v>
      </c>
      <c r="D75" s="54" t="s">
        <v>231</v>
      </c>
      <c r="E75" s="65"/>
      <c r="F75" s="66"/>
      <c r="G75" s="57">
        <f t="shared" si="3"/>
        <v>1</v>
      </c>
      <c r="H75" s="56" t="str">
        <f t="shared" si="4"/>
        <v/>
      </c>
      <c r="I75" s="32" t="str">
        <f t="shared" si="5"/>
        <v>Pendiente</v>
      </c>
    </row>
    <row r="76" spans="2:9" ht="18" customHeight="1" x14ac:dyDescent="0.35">
      <c r="B76" s="52">
        <v>54</v>
      </c>
      <c r="C76" s="53">
        <v>2030</v>
      </c>
      <c r="D76" s="54" t="s">
        <v>232</v>
      </c>
      <c r="E76" s="65"/>
      <c r="F76" s="66"/>
      <c r="G76" s="57">
        <f t="shared" si="3"/>
        <v>1</v>
      </c>
      <c r="H76" s="56" t="str">
        <f t="shared" si="4"/>
        <v/>
      </c>
      <c r="I76" s="32" t="str">
        <f t="shared" si="5"/>
        <v>Pendiente</v>
      </c>
    </row>
    <row r="77" spans="2:9" ht="18" customHeight="1" x14ac:dyDescent="0.35">
      <c r="B77" s="52">
        <v>55</v>
      </c>
      <c r="C77" s="53">
        <v>2030</v>
      </c>
      <c r="D77" s="54" t="s">
        <v>233</v>
      </c>
      <c r="E77" s="65"/>
      <c r="F77" s="66"/>
      <c r="G77" s="57">
        <f t="shared" si="3"/>
        <v>1</v>
      </c>
      <c r="H77" s="56" t="str">
        <f t="shared" si="4"/>
        <v/>
      </c>
      <c r="I77" s="32" t="str">
        <f t="shared" si="5"/>
        <v>Pendiente</v>
      </c>
    </row>
    <row r="78" spans="2:9" ht="18" customHeight="1" x14ac:dyDescent="0.35">
      <c r="B78" s="52">
        <v>56</v>
      </c>
      <c r="C78" s="53">
        <v>2030</v>
      </c>
      <c r="D78" s="54" t="s">
        <v>234</v>
      </c>
      <c r="E78" s="65"/>
      <c r="F78" s="66"/>
      <c r="G78" s="57">
        <f t="shared" si="3"/>
        <v>1</v>
      </c>
      <c r="H78" s="56" t="str">
        <f t="shared" si="4"/>
        <v/>
      </c>
      <c r="I78" s="32" t="str">
        <f t="shared" si="5"/>
        <v>Pendiente</v>
      </c>
    </row>
    <row r="79" spans="2:9" ht="18" customHeight="1" x14ac:dyDescent="0.35">
      <c r="B79" s="52">
        <v>57</v>
      </c>
      <c r="C79" s="53">
        <v>2030</v>
      </c>
      <c r="D79" s="54" t="s">
        <v>235</v>
      </c>
      <c r="E79" s="65"/>
      <c r="F79" s="66"/>
      <c r="G79" s="57">
        <f t="shared" si="3"/>
        <v>1</v>
      </c>
      <c r="H79" s="56" t="str">
        <f t="shared" si="4"/>
        <v/>
      </c>
      <c r="I79" s="32" t="str">
        <f t="shared" si="5"/>
        <v>Pendiente</v>
      </c>
    </row>
    <row r="80" spans="2:9" ht="18" customHeight="1" x14ac:dyDescent="0.35">
      <c r="B80" s="52">
        <v>58</v>
      </c>
      <c r="C80" s="53">
        <v>2030</v>
      </c>
      <c r="D80" s="54" t="s">
        <v>236</v>
      </c>
      <c r="E80" s="65"/>
      <c r="F80" s="66"/>
      <c r="G80" s="57">
        <f t="shared" si="3"/>
        <v>1</v>
      </c>
      <c r="H80" s="56" t="str">
        <f t="shared" si="4"/>
        <v/>
      </c>
      <c r="I80" s="32" t="str">
        <f t="shared" si="5"/>
        <v>Pendiente</v>
      </c>
    </row>
    <row r="81" spans="2:9" ht="18" customHeight="1" x14ac:dyDescent="0.35">
      <c r="B81" s="52">
        <v>59</v>
      </c>
      <c r="C81" s="53">
        <v>2030</v>
      </c>
      <c r="D81" s="54" t="s">
        <v>237</v>
      </c>
      <c r="E81" s="65"/>
      <c r="F81" s="66"/>
      <c r="G81" s="57">
        <f t="shared" si="3"/>
        <v>1</v>
      </c>
      <c r="H81" s="56" t="str">
        <f t="shared" si="4"/>
        <v/>
      </c>
      <c r="I81" s="32" t="str">
        <f t="shared" si="5"/>
        <v>Pendiente</v>
      </c>
    </row>
    <row r="82" spans="2:9" ht="18" customHeight="1" x14ac:dyDescent="0.35">
      <c r="B82" s="52">
        <v>60</v>
      </c>
      <c r="C82" s="53">
        <v>2030</v>
      </c>
      <c r="D82" s="54" t="s">
        <v>238</v>
      </c>
      <c r="E82" s="70"/>
      <c r="F82" s="56" t="str">
        <f>IF(E82="","",E82)</f>
        <v/>
      </c>
      <c r="G82" s="57">
        <f t="shared" si="3"/>
        <v>1</v>
      </c>
      <c r="H82" s="56" t="str">
        <f t="shared" si="4"/>
        <v/>
      </c>
      <c r="I82" s="32" t="str">
        <f t="shared" si="5"/>
        <v>Pendiente</v>
      </c>
    </row>
  </sheetData>
  <mergeCells count="29">
    <mergeCell ref="E16:I16"/>
    <mergeCell ref="B5:C5"/>
    <mergeCell ref="B20:I20"/>
    <mergeCell ref="C13:D13"/>
    <mergeCell ref="C18:D18"/>
    <mergeCell ref="E18:I18"/>
    <mergeCell ref="E17:I17"/>
    <mergeCell ref="B12:I12"/>
    <mergeCell ref="B21:I21"/>
    <mergeCell ref="C16:D16"/>
    <mergeCell ref="B2:I2"/>
    <mergeCell ref="D9:I9"/>
    <mergeCell ref="E13:I13"/>
    <mergeCell ref="B8:C8"/>
    <mergeCell ref="D8:I8"/>
    <mergeCell ref="E15:I15"/>
    <mergeCell ref="D5:I5"/>
    <mergeCell ref="B10:C10"/>
    <mergeCell ref="B9:C9"/>
    <mergeCell ref="C17:D17"/>
    <mergeCell ref="B6:C6"/>
    <mergeCell ref="D10:I10"/>
    <mergeCell ref="B7:C7"/>
    <mergeCell ref="C15:D15"/>
    <mergeCell ref="B3:I3"/>
    <mergeCell ref="C14:D14"/>
    <mergeCell ref="E14:I14"/>
    <mergeCell ref="D7:I7"/>
    <mergeCell ref="D6:I6"/>
  </mergeCells>
  <conditionalFormatting sqref="H23:H82">
    <cfRule type="expression" dxfId="6" priority="2">
      <formula>AND(ISNUMBER(H23),H23&gt;=0.95)</formula>
    </cfRule>
    <cfRule type="expression" dxfId="5" priority="3">
      <formula>AND(ISNUMBER(H23),H23&gt;=0.8,H23&lt;0.95)</formula>
    </cfRule>
    <cfRule type="expression" dxfId="4" priority="4">
      <formula>AND(ISNUMBER(H23),H23&lt;0.8)</formula>
    </cfRule>
  </conditionalFormatting>
  <conditionalFormatting sqref="I23:I82">
    <cfRule type="expression" dxfId="3" priority="5">
      <formula>I23="Cumple"</formula>
    </cfRule>
    <cfRule type="expression" dxfId="2" priority="6">
      <formula>I23="En riesgo"</formula>
    </cfRule>
    <cfRule type="expression" dxfId="1" priority="7">
      <formula>I23="Crítico"</formula>
    </cfRule>
    <cfRule type="expression" dxfId="0" priority="8">
      <formula>I23="Pendiente"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Inicio</vt:lpstr>
      <vt:lpstr>Tablero Principal</vt:lpstr>
      <vt:lpstr>Parámetros</vt:lpstr>
      <vt:lpstr>IND-01</vt:lpstr>
      <vt:lpstr>IND-02</vt:lpstr>
      <vt:lpstr>IND-03</vt:lpstr>
      <vt:lpstr>IND-04</vt:lpstr>
      <vt:lpstr>IND-05</vt:lpstr>
      <vt:lpstr>IND-06</vt:lpstr>
      <vt:lpstr>IND-07</vt:lpstr>
      <vt:lpstr>IND-08</vt:lpstr>
      <vt:lpstr>IND-09</vt:lpstr>
      <vt:lpstr>IND-10</vt:lpstr>
      <vt:lpstr>IND-11</vt:lpstr>
      <vt:lpstr>IND-12</vt:lpstr>
      <vt:lpstr>IND-13</vt:lpstr>
      <vt:lpstr>IND-14</vt:lpstr>
      <vt:lpstr>IND-15</vt:lpstr>
      <vt:lpstr>IND-16</vt:lpstr>
      <vt:lpstr>IND-17</vt:lpstr>
      <vt:lpstr>IND-18</vt:lpstr>
      <vt:lpstr>IND-19</vt:lpstr>
      <vt:lpstr>IND-20</vt:lpstr>
      <vt:lpstr>IND-21</vt:lpstr>
      <vt:lpstr>IND-22</vt:lpstr>
      <vt:lpstr>IND-23</vt:lpstr>
      <vt:lpstr>IND-24</vt:lpstr>
      <vt:lpstr>IND-25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Maribel Fonseca Gómez</cp:lastModifiedBy>
  <cp:revision>0</cp:revision>
  <dcterms:created xsi:type="dcterms:W3CDTF">2026-05-29T18:17:33Z</dcterms:created>
  <dcterms:modified xsi:type="dcterms:W3CDTF">2026-05-29T19:33:43Z</dcterms:modified>
  <dc:language>en-US</dc:language>
</cp:coreProperties>
</file>